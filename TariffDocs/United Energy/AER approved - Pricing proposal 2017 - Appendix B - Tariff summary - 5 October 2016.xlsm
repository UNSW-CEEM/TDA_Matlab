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Y:\Operations\UE NETWORK MANAGEMENT\9. Revenue Management\9.3 Revenue\Tariffs &amp; Charges\Tariff Submissions\DUOS\2017\Submissions\"/>
    </mc:Choice>
  </mc:AlternateContent>
  <bookViews>
    <workbookView xWindow="0" yWindow="0" windowWidth="25200" windowHeight="11835" tabRatio="810"/>
  </bookViews>
  <sheets>
    <sheet name="2017 DUOS Ex GST" sheetId="4" r:id="rId1"/>
    <sheet name="2017 TUOS Ex GST" sheetId="11" r:id="rId2"/>
    <sheet name="2017 NUOS Ex GST" sheetId="17" r:id="rId3"/>
    <sheet name="2017 DUOS Incl GST" sheetId="24" r:id="rId4"/>
    <sheet name="2017 TUOS Incl GST" sheetId="25" r:id="rId5"/>
    <sheet name="2017 NUOS Incl GST" sheetId="26" r:id="rId6"/>
    <sheet name="PFIT TFIT Ex GST" sheetId="22" r:id="rId7"/>
    <sheet name="PFIT TFIT Incl GST" sheetId="27" r:id="rId8"/>
    <sheet name="Prescribed Ex GST" sheetId="23" r:id="rId9"/>
    <sheet name="Prescribed Incl GST" sheetId="28" r:id="rId10"/>
  </sheets>
  <definedNames>
    <definedName name="_xlnm.Print_Area" localSheetId="0">'2017 DUOS Ex GST'!$B$2:$T$41</definedName>
    <definedName name="_xlnm.Print_Area" localSheetId="3">'2017 DUOS Incl GST'!$B$2:$T$41</definedName>
    <definedName name="_xlnm.Print_Area" localSheetId="2">'2017 NUOS Ex GST'!$B$2:$AB$41</definedName>
    <definedName name="_xlnm.Print_Area" localSheetId="5">'2017 NUOS Incl GST'!$B$2:$AB$41</definedName>
    <definedName name="_xlnm.Print_Area" localSheetId="1">'2017 TUOS Ex GST'!$B$2:$T$41</definedName>
    <definedName name="_xlnm.Print_Area" localSheetId="4">'2017 TUOS Incl GST'!$B$2:$T$41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28" l="1"/>
  <c r="C27" i="27"/>
  <c r="C26" i="27"/>
  <c r="C25" i="27"/>
  <c r="C24" i="27"/>
  <c r="C23" i="27"/>
  <c r="C22" i="27"/>
  <c r="C21" i="27"/>
  <c r="C20" i="27"/>
  <c r="C19" i="27"/>
  <c r="C18" i="27"/>
  <c r="C17" i="27"/>
  <c r="C16" i="27"/>
  <c r="C15" i="27"/>
  <c r="C14" i="27"/>
  <c r="C13" i="27"/>
  <c r="C12" i="27"/>
  <c r="C11" i="27"/>
  <c r="C10" i="27"/>
  <c r="C9" i="27"/>
  <c r="C8" i="27"/>
  <c r="C7" i="27"/>
  <c r="C4" i="27"/>
  <c r="C3" i="27"/>
  <c r="Q30" i="25"/>
  <c r="P30" i="25"/>
  <c r="Q29" i="25"/>
  <c r="P29" i="25"/>
  <c r="Q28" i="25"/>
  <c r="P28" i="25"/>
  <c r="Q27" i="25"/>
  <c r="P27" i="25"/>
  <c r="Q26" i="25"/>
  <c r="P26" i="25"/>
  <c r="Q25" i="25"/>
  <c r="P25" i="25"/>
  <c r="Q24" i="25"/>
  <c r="P24" i="25"/>
  <c r="Q23" i="25"/>
  <c r="P23" i="25"/>
  <c r="Q22" i="25"/>
  <c r="P22" i="25"/>
  <c r="Q21" i="25"/>
  <c r="P21" i="25"/>
  <c r="Q20" i="25"/>
  <c r="P20" i="25"/>
  <c r="Q19" i="25"/>
  <c r="P19" i="25"/>
  <c r="Q18" i="25"/>
  <c r="P18" i="25"/>
  <c r="Q17" i="25"/>
  <c r="P17" i="25"/>
  <c r="Q16" i="25"/>
  <c r="P16" i="25"/>
  <c r="Q15" i="25"/>
  <c r="P15" i="25"/>
  <c r="Q14" i="25"/>
  <c r="P14" i="25"/>
  <c r="Q13" i="25"/>
  <c r="P13" i="25"/>
  <c r="Q12" i="25"/>
  <c r="P12" i="25"/>
  <c r="Q11" i="25"/>
  <c r="P11" i="25"/>
  <c r="Q10" i="25"/>
  <c r="P10" i="25"/>
  <c r="Q9" i="25"/>
  <c r="P9" i="25"/>
  <c r="Q8" i="25"/>
  <c r="P8" i="25"/>
  <c r="Q7" i="25"/>
  <c r="P7" i="25"/>
  <c r="Q6" i="25"/>
  <c r="P6" i="25"/>
  <c r="Q30" i="24"/>
  <c r="P30" i="24"/>
  <c r="O30" i="24"/>
  <c r="N30" i="24"/>
  <c r="M30" i="24"/>
  <c r="L30" i="24"/>
  <c r="K30" i="24"/>
  <c r="J30" i="24"/>
  <c r="I30" i="24"/>
  <c r="H30" i="24"/>
  <c r="G30" i="24"/>
  <c r="F30" i="24"/>
  <c r="E30" i="24"/>
  <c r="Q29" i="24"/>
  <c r="P29" i="24"/>
  <c r="O29" i="24"/>
  <c r="N29" i="24"/>
  <c r="M29" i="24"/>
  <c r="L29" i="24"/>
  <c r="K29" i="24"/>
  <c r="J29" i="24"/>
  <c r="I29" i="24"/>
  <c r="H29" i="24"/>
  <c r="G29" i="24"/>
  <c r="F29" i="24"/>
  <c r="E29" i="24"/>
  <c r="Q28" i="24"/>
  <c r="Q28" i="26" s="1"/>
  <c r="P28" i="24"/>
  <c r="P28" i="26" s="1"/>
  <c r="O28" i="24"/>
  <c r="N28" i="24"/>
  <c r="M28" i="24"/>
  <c r="L28" i="24"/>
  <c r="K28" i="24"/>
  <c r="J28" i="24"/>
  <c r="I28" i="24"/>
  <c r="H28" i="24"/>
  <c r="G28" i="24"/>
  <c r="F28" i="24"/>
  <c r="E28" i="24"/>
  <c r="Q27" i="24"/>
  <c r="P27" i="24"/>
  <c r="O27" i="24"/>
  <c r="N27" i="24"/>
  <c r="M27" i="24"/>
  <c r="L27" i="24"/>
  <c r="K27" i="24"/>
  <c r="J27" i="24"/>
  <c r="I27" i="24"/>
  <c r="H27" i="24"/>
  <c r="G27" i="24"/>
  <c r="F27" i="24"/>
  <c r="E27" i="24"/>
  <c r="Q26" i="24"/>
  <c r="P26" i="24"/>
  <c r="O26" i="24"/>
  <c r="N26" i="24"/>
  <c r="M26" i="24"/>
  <c r="L26" i="24"/>
  <c r="K26" i="24"/>
  <c r="J26" i="24"/>
  <c r="I26" i="24"/>
  <c r="H26" i="24"/>
  <c r="G26" i="24"/>
  <c r="F26" i="24"/>
  <c r="E26" i="24"/>
  <c r="Q25" i="24"/>
  <c r="P25" i="24"/>
  <c r="O25" i="24"/>
  <c r="N25" i="24"/>
  <c r="M25" i="24"/>
  <c r="L25" i="24"/>
  <c r="K25" i="24"/>
  <c r="J25" i="24"/>
  <c r="I25" i="24"/>
  <c r="H25" i="24"/>
  <c r="G25" i="24"/>
  <c r="F25" i="24"/>
  <c r="E25" i="24"/>
  <c r="Q24" i="24"/>
  <c r="Q24" i="26" s="1"/>
  <c r="P24" i="24"/>
  <c r="P24" i="26" s="1"/>
  <c r="O24" i="24"/>
  <c r="N24" i="24"/>
  <c r="M24" i="24"/>
  <c r="L24" i="24"/>
  <c r="K24" i="24"/>
  <c r="J24" i="24"/>
  <c r="I24" i="24"/>
  <c r="H24" i="24"/>
  <c r="G24" i="24"/>
  <c r="F24" i="24"/>
  <c r="E24" i="24"/>
  <c r="Q23" i="24"/>
  <c r="P23" i="24"/>
  <c r="O23" i="24"/>
  <c r="N23" i="24"/>
  <c r="M23" i="24"/>
  <c r="L23" i="24"/>
  <c r="K23" i="24"/>
  <c r="J23" i="24"/>
  <c r="I23" i="24"/>
  <c r="H23" i="24"/>
  <c r="G23" i="24"/>
  <c r="F23" i="24"/>
  <c r="E23" i="24"/>
  <c r="Q22" i="24"/>
  <c r="P22" i="24"/>
  <c r="O22" i="24"/>
  <c r="N22" i="24"/>
  <c r="M22" i="24"/>
  <c r="L22" i="24"/>
  <c r="K22" i="24"/>
  <c r="J22" i="24"/>
  <c r="I22" i="24"/>
  <c r="H22" i="24"/>
  <c r="G22" i="24"/>
  <c r="F22" i="24"/>
  <c r="E22" i="24"/>
  <c r="Q21" i="24"/>
  <c r="P21" i="24"/>
  <c r="O21" i="24"/>
  <c r="N21" i="24"/>
  <c r="M21" i="24"/>
  <c r="L21" i="24"/>
  <c r="K21" i="24"/>
  <c r="J21" i="24"/>
  <c r="I21" i="24"/>
  <c r="H21" i="24"/>
  <c r="G21" i="24"/>
  <c r="F21" i="24"/>
  <c r="E21" i="24"/>
  <c r="Q20" i="24"/>
  <c r="Q20" i="26" s="1"/>
  <c r="P20" i="24"/>
  <c r="P20" i="26" s="1"/>
  <c r="O20" i="24"/>
  <c r="N20" i="24"/>
  <c r="M20" i="24"/>
  <c r="L20" i="24"/>
  <c r="K20" i="24"/>
  <c r="J20" i="24"/>
  <c r="I20" i="24"/>
  <c r="H20" i="24"/>
  <c r="G20" i="24"/>
  <c r="F20" i="24"/>
  <c r="E20" i="24"/>
  <c r="Q19" i="24"/>
  <c r="P19" i="24"/>
  <c r="O19" i="24"/>
  <c r="N19" i="24"/>
  <c r="M19" i="24"/>
  <c r="L19" i="24"/>
  <c r="K19" i="24"/>
  <c r="J19" i="24"/>
  <c r="I19" i="24"/>
  <c r="H19" i="24"/>
  <c r="G19" i="24"/>
  <c r="F19" i="24"/>
  <c r="E19" i="24"/>
  <c r="Q18" i="24"/>
  <c r="P18" i="24"/>
  <c r="O18" i="24"/>
  <c r="N18" i="24"/>
  <c r="M18" i="24"/>
  <c r="L18" i="24"/>
  <c r="K18" i="24"/>
  <c r="J18" i="24"/>
  <c r="I18" i="24"/>
  <c r="H18" i="24"/>
  <c r="G18" i="24"/>
  <c r="F18" i="24"/>
  <c r="E18" i="24"/>
  <c r="Q17" i="24"/>
  <c r="P17" i="24"/>
  <c r="O17" i="24"/>
  <c r="N17" i="24"/>
  <c r="M17" i="24"/>
  <c r="L17" i="24"/>
  <c r="K17" i="24"/>
  <c r="J17" i="24"/>
  <c r="I17" i="24"/>
  <c r="H17" i="24"/>
  <c r="G17" i="24"/>
  <c r="F17" i="24"/>
  <c r="E17" i="24"/>
  <c r="Q16" i="24"/>
  <c r="Q16" i="26" s="1"/>
  <c r="P16" i="24"/>
  <c r="P16" i="26" s="1"/>
  <c r="O16" i="24"/>
  <c r="N16" i="24"/>
  <c r="M16" i="24"/>
  <c r="L16" i="24"/>
  <c r="K16" i="24"/>
  <c r="J16" i="24"/>
  <c r="I16" i="24"/>
  <c r="H16" i="24"/>
  <c r="G16" i="24"/>
  <c r="F16" i="24"/>
  <c r="E16" i="24"/>
  <c r="Q15" i="24"/>
  <c r="P15" i="24"/>
  <c r="O15" i="24"/>
  <c r="N15" i="24"/>
  <c r="M15" i="24"/>
  <c r="L15" i="24"/>
  <c r="K15" i="24"/>
  <c r="J15" i="24"/>
  <c r="I15" i="24"/>
  <c r="H15" i="24"/>
  <c r="G15" i="24"/>
  <c r="F15" i="24"/>
  <c r="E15" i="24"/>
  <c r="Q14" i="24"/>
  <c r="P14" i="24"/>
  <c r="O14" i="24"/>
  <c r="N14" i="24"/>
  <c r="M14" i="24"/>
  <c r="L14" i="24"/>
  <c r="K14" i="24"/>
  <c r="J14" i="24"/>
  <c r="I14" i="24"/>
  <c r="H14" i="24"/>
  <c r="G14" i="24"/>
  <c r="F14" i="24"/>
  <c r="E14" i="24"/>
  <c r="Q13" i="24"/>
  <c r="P13" i="24"/>
  <c r="O13" i="24"/>
  <c r="N13" i="24"/>
  <c r="M13" i="24"/>
  <c r="L13" i="24"/>
  <c r="K13" i="24"/>
  <c r="J13" i="24"/>
  <c r="I13" i="24"/>
  <c r="H13" i="24"/>
  <c r="G13" i="24"/>
  <c r="F13" i="24"/>
  <c r="E13" i="24"/>
  <c r="Q12" i="24"/>
  <c r="Q12" i="26" s="1"/>
  <c r="P12" i="24"/>
  <c r="P12" i="26" s="1"/>
  <c r="O12" i="24"/>
  <c r="N12" i="24"/>
  <c r="M12" i="24"/>
  <c r="L12" i="24"/>
  <c r="K12" i="24"/>
  <c r="J12" i="24"/>
  <c r="I12" i="24"/>
  <c r="H12" i="24"/>
  <c r="G12" i="24"/>
  <c r="F12" i="24"/>
  <c r="E12" i="24"/>
  <c r="Q11" i="24"/>
  <c r="P11" i="24"/>
  <c r="O11" i="24"/>
  <c r="N11" i="24"/>
  <c r="M11" i="24"/>
  <c r="L11" i="24"/>
  <c r="K11" i="24"/>
  <c r="J11" i="24"/>
  <c r="I11" i="24"/>
  <c r="H11" i="24"/>
  <c r="G11" i="24"/>
  <c r="F11" i="24"/>
  <c r="E11" i="24"/>
  <c r="Q10" i="24"/>
  <c r="P10" i="24"/>
  <c r="O10" i="24"/>
  <c r="N10" i="24"/>
  <c r="M10" i="24"/>
  <c r="L10" i="24"/>
  <c r="K10" i="24"/>
  <c r="J10" i="24"/>
  <c r="I10" i="24"/>
  <c r="H10" i="24"/>
  <c r="G10" i="24"/>
  <c r="F10" i="24"/>
  <c r="E10" i="24"/>
  <c r="Q9" i="24"/>
  <c r="P9" i="24"/>
  <c r="O9" i="24"/>
  <c r="N9" i="24"/>
  <c r="M9" i="24"/>
  <c r="L9" i="24"/>
  <c r="K9" i="24"/>
  <c r="J9" i="24"/>
  <c r="I9" i="24"/>
  <c r="H9" i="24"/>
  <c r="G9" i="24"/>
  <c r="F9" i="24"/>
  <c r="E9" i="24"/>
  <c r="Q8" i="24"/>
  <c r="Q8" i="26" s="1"/>
  <c r="P8" i="24"/>
  <c r="P8" i="26" s="1"/>
  <c r="O8" i="24"/>
  <c r="N8" i="24"/>
  <c r="M8" i="24"/>
  <c r="L8" i="24"/>
  <c r="K8" i="24"/>
  <c r="J8" i="24"/>
  <c r="I8" i="24"/>
  <c r="H8" i="24"/>
  <c r="G8" i="24"/>
  <c r="F8" i="24"/>
  <c r="E8" i="24"/>
  <c r="Q7" i="24"/>
  <c r="P7" i="24"/>
  <c r="O7" i="24"/>
  <c r="N7" i="24"/>
  <c r="M7" i="24"/>
  <c r="L7" i="24"/>
  <c r="K7" i="24"/>
  <c r="J7" i="24"/>
  <c r="I7" i="24"/>
  <c r="H7" i="24"/>
  <c r="G7" i="24"/>
  <c r="F7" i="24"/>
  <c r="E7" i="24"/>
  <c r="Q6" i="24"/>
  <c r="P6" i="24"/>
  <c r="O6" i="24"/>
  <c r="N6" i="24"/>
  <c r="M6" i="24"/>
  <c r="L6" i="24"/>
  <c r="K6" i="24"/>
  <c r="J6" i="24"/>
  <c r="I6" i="24"/>
  <c r="H6" i="24"/>
  <c r="G6" i="24"/>
  <c r="F6" i="24"/>
  <c r="E6" i="24"/>
  <c r="P29" i="26" l="1"/>
  <c r="P9" i="26"/>
  <c r="P13" i="26"/>
  <c r="P17" i="26"/>
  <c r="P21" i="26"/>
  <c r="P25" i="26"/>
  <c r="Q7" i="26"/>
  <c r="Q11" i="26"/>
  <c r="Q15" i="26"/>
  <c r="Q19" i="26"/>
  <c r="Q23" i="26"/>
  <c r="Q27" i="26"/>
  <c r="Q6" i="26"/>
  <c r="P7" i="26"/>
  <c r="Q10" i="26"/>
  <c r="P11" i="26"/>
  <c r="Q14" i="26"/>
  <c r="P15" i="26"/>
  <c r="Q18" i="26"/>
  <c r="P19" i="26"/>
  <c r="Q22" i="26"/>
  <c r="P23" i="26"/>
  <c r="Q26" i="26"/>
  <c r="P27" i="26"/>
  <c r="Q30" i="26"/>
  <c r="P6" i="26"/>
  <c r="Q9" i="26"/>
  <c r="P10" i="26"/>
  <c r="Q13" i="26"/>
  <c r="P14" i="26"/>
  <c r="Q17" i="26"/>
  <c r="P18" i="26"/>
  <c r="Q21" i="26"/>
  <c r="P22" i="26"/>
  <c r="Q25" i="26"/>
  <c r="P26" i="26"/>
  <c r="Q29" i="26"/>
  <c r="P30" i="26"/>
  <c r="O28" i="25"/>
  <c r="O28" i="26" s="1"/>
  <c r="N28" i="25"/>
  <c r="N28" i="26" s="1"/>
  <c r="M28" i="25"/>
  <c r="M28" i="26" s="1"/>
  <c r="L28" i="25"/>
  <c r="L28" i="26" s="1"/>
  <c r="K28" i="25"/>
  <c r="K28" i="26" s="1"/>
  <c r="J28" i="25"/>
  <c r="J28" i="26" s="1"/>
  <c r="I28" i="25"/>
  <c r="I28" i="26" s="1"/>
  <c r="H28" i="25"/>
  <c r="H28" i="26" s="1"/>
  <c r="G28" i="25"/>
  <c r="G28" i="26" s="1"/>
  <c r="F28" i="25"/>
  <c r="F28" i="26" s="1"/>
  <c r="E28" i="25"/>
  <c r="E28" i="26" s="1"/>
  <c r="O27" i="25"/>
  <c r="O27" i="26" s="1"/>
  <c r="N27" i="25"/>
  <c r="N27" i="26" s="1"/>
  <c r="M27" i="25"/>
  <c r="M27" i="26" s="1"/>
  <c r="L27" i="25"/>
  <c r="L27" i="26" s="1"/>
  <c r="K27" i="25"/>
  <c r="K27" i="26" s="1"/>
  <c r="J27" i="25"/>
  <c r="J27" i="26" s="1"/>
  <c r="I27" i="25"/>
  <c r="I27" i="26" s="1"/>
  <c r="H27" i="25"/>
  <c r="H27" i="26" s="1"/>
  <c r="G27" i="25"/>
  <c r="G27" i="26" s="1"/>
  <c r="F27" i="25"/>
  <c r="F27" i="26" s="1"/>
  <c r="E27" i="25"/>
  <c r="E27" i="26" s="1"/>
  <c r="O26" i="25"/>
  <c r="O26" i="26" s="1"/>
  <c r="N26" i="25"/>
  <c r="N26" i="26" s="1"/>
  <c r="M26" i="25"/>
  <c r="M26" i="26" s="1"/>
  <c r="L26" i="25"/>
  <c r="L26" i="26" s="1"/>
  <c r="K26" i="25"/>
  <c r="K26" i="26" s="1"/>
  <c r="J26" i="25"/>
  <c r="J26" i="26" s="1"/>
  <c r="I26" i="25"/>
  <c r="I26" i="26" s="1"/>
  <c r="H26" i="25"/>
  <c r="H26" i="26" s="1"/>
  <c r="G26" i="25"/>
  <c r="G26" i="26" s="1"/>
  <c r="F26" i="25"/>
  <c r="F26" i="26" s="1"/>
  <c r="E26" i="25"/>
  <c r="E26" i="26" s="1"/>
  <c r="O25" i="25"/>
  <c r="O25" i="26" s="1"/>
  <c r="N25" i="25"/>
  <c r="N25" i="26" s="1"/>
  <c r="M25" i="25"/>
  <c r="M25" i="26" s="1"/>
  <c r="L25" i="25"/>
  <c r="L25" i="26" s="1"/>
  <c r="K25" i="25"/>
  <c r="K25" i="26" s="1"/>
  <c r="J25" i="25"/>
  <c r="J25" i="26" s="1"/>
  <c r="I25" i="25"/>
  <c r="I25" i="26" s="1"/>
  <c r="H25" i="25"/>
  <c r="H25" i="26" s="1"/>
  <c r="G25" i="25"/>
  <c r="G25" i="26" s="1"/>
  <c r="F25" i="25"/>
  <c r="F25" i="26" s="1"/>
  <c r="E25" i="25"/>
  <c r="E25" i="26" s="1"/>
  <c r="O24" i="25"/>
  <c r="O24" i="26" s="1"/>
  <c r="N24" i="25"/>
  <c r="N24" i="26" s="1"/>
  <c r="M24" i="25"/>
  <c r="M24" i="26" s="1"/>
  <c r="L24" i="25"/>
  <c r="L24" i="26" s="1"/>
  <c r="K24" i="25"/>
  <c r="K24" i="26" s="1"/>
  <c r="J24" i="25"/>
  <c r="J24" i="26" s="1"/>
  <c r="I24" i="25"/>
  <c r="I24" i="26" s="1"/>
  <c r="H24" i="25"/>
  <c r="H24" i="26" s="1"/>
  <c r="G24" i="25"/>
  <c r="G24" i="26" s="1"/>
  <c r="F24" i="25"/>
  <c r="F24" i="26" s="1"/>
  <c r="E24" i="25"/>
  <c r="E24" i="26" s="1"/>
  <c r="O23" i="25"/>
  <c r="O23" i="26" s="1"/>
  <c r="N23" i="25"/>
  <c r="N23" i="26" s="1"/>
  <c r="M23" i="25"/>
  <c r="M23" i="26" s="1"/>
  <c r="L23" i="25"/>
  <c r="L23" i="26" s="1"/>
  <c r="K23" i="25"/>
  <c r="K23" i="26" s="1"/>
  <c r="J23" i="25"/>
  <c r="J23" i="26" s="1"/>
  <c r="I23" i="25"/>
  <c r="I23" i="26" s="1"/>
  <c r="H23" i="25"/>
  <c r="H23" i="26" s="1"/>
  <c r="G23" i="25"/>
  <c r="G23" i="26" s="1"/>
  <c r="F23" i="25"/>
  <c r="F23" i="26" s="1"/>
  <c r="E23" i="25"/>
  <c r="E23" i="26" s="1"/>
  <c r="O22" i="25"/>
  <c r="O22" i="26" s="1"/>
  <c r="N22" i="25"/>
  <c r="N22" i="26" s="1"/>
  <c r="M22" i="25"/>
  <c r="M22" i="26" s="1"/>
  <c r="L22" i="25"/>
  <c r="L22" i="26" s="1"/>
  <c r="K22" i="25"/>
  <c r="K22" i="26" s="1"/>
  <c r="J22" i="25"/>
  <c r="J22" i="26" s="1"/>
  <c r="I22" i="25"/>
  <c r="I22" i="26" s="1"/>
  <c r="H22" i="25"/>
  <c r="H22" i="26" s="1"/>
  <c r="G22" i="25"/>
  <c r="G22" i="26" s="1"/>
  <c r="F22" i="25"/>
  <c r="F22" i="26" s="1"/>
  <c r="E22" i="25"/>
  <c r="E22" i="26" s="1"/>
  <c r="O21" i="25"/>
  <c r="O21" i="26" s="1"/>
  <c r="N21" i="25"/>
  <c r="N21" i="26" s="1"/>
  <c r="M21" i="25"/>
  <c r="M21" i="26" s="1"/>
  <c r="L21" i="25"/>
  <c r="L21" i="26" s="1"/>
  <c r="K21" i="25"/>
  <c r="K21" i="26" s="1"/>
  <c r="J21" i="25"/>
  <c r="J21" i="26" s="1"/>
  <c r="I21" i="25"/>
  <c r="I21" i="26" s="1"/>
  <c r="H21" i="25"/>
  <c r="H21" i="26" s="1"/>
  <c r="G21" i="25"/>
  <c r="G21" i="26" s="1"/>
  <c r="F21" i="25"/>
  <c r="F21" i="26" s="1"/>
  <c r="E21" i="25"/>
  <c r="E21" i="26" s="1"/>
  <c r="O20" i="25"/>
  <c r="O20" i="26" s="1"/>
  <c r="N20" i="25"/>
  <c r="N20" i="26" s="1"/>
  <c r="M20" i="25"/>
  <c r="M20" i="26" s="1"/>
  <c r="L20" i="25"/>
  <c r="L20" i="26" s="1"/>
  <c r="K20" i="25"/>
  <c r="K20" i="26" s="1"/>
  <c r="J20" i="25"/>
  <c r="J20" i="26" s="1"/>
  <c r="I20" i="25"/>
  <c r="I20" i="26" s="1"/>
  <c r="H20" i="25"/>
  <c r="H20" i="26" s="1"/>
  <c r="G20" i="25"/>
  <c r="G20" i="26" s="1"/>
  <c r="F20" i="25"/>
  <c r="F20" i="26" s="1"/>
  <c r="E20" i="25"/>
  <c r="E20" i="26" s="1"/>
  <c r="O19" i="25"/>
  <c r="O19" i="26" s="1"/>
  <c r="N19" i="25"/>
  <c r="N19" i="26" s="1"/>
  <c r="M19" i="25"/>
  <c r="M19" i="26" s="1"/>
  <c r="L19" i="25"/>
  <c r="L19" i="26" s="1"/>
  <c r="K19" i="25"/>
  <c r="K19" i="26" s="1"/>
  <c r="J19" i="25"/>
  <c r="J19" i="26" s="1"/>
  <c r="I19" i="25"/>
  <c r="I19" i="26" s="1"/>
  <c r="H19" i="25"/>
  <c r="H19" i="26" s="1"/>
  <c r="G19" i="25"/>
  <c r="G19" i="26" s="1"/>
  <c r="F19" i="25"/>
  <c r="F19" i="26" s="1"/>
  <c r="E19" i="25"/>
  <c r="E19" i="26" s="1"/>
  <c r="O18" i="25"/>
  <c r="O18" i="26" s="1"/>
  <c r="N18" i="25"/>
  <c r="N18" i="26" s="1"/>
  <c r="M18" i="25"/>
  <c r="M18" i="26" s="1"/>
  <c r="L18" i="25"/>
  <c r="L18" i="26" s="1"/>
  <c r="K18" i="25"/>
  <c r="K18" i="26" s="1"/>
  <c r="J18" i="25"/>
  <c r="J18" i="26" s="1"/>
  <c r="I18" i="25"/>
  <c r="I18" i="26" s="1"/>
  <c r="H18" i="25"/>
  <c r="H18" i="26" s="1"/>
  <c r="G18" i="25"/>
  <c r="G18" i="26" s="1"/>
  <c r="F18" i="25"/>
  <c r="F18" i="26" s="1"/>
  <c r="E18" i="25"/>
  <c r="E18" i="26" s="1"/>
  <c r="O17" i="25"/>
  <c r="O17" i="26" s="1"/>
  <c r="N17" i="25"/>
  <c r="N17" i="26" s="1"/>
  <c r="M17" i="25"/>
  <c r="M17" i="26" s="1"/>
  <c r="L17" i="25"/>
  <c r="L17" i="26" s="1"/>
  <c r="K17" i="25"/>
  <c r="K17" i="26" s="1"/>
  <c r="J17" i="25"/>
  <c r="J17" i="26" s="1"/>
  <c r="I17" i="25"/>
  <c r="I17" i="26" s="1"/>
  <c r="H17" i="25"/>
  <c r="H17" i="26" s="1"/>
  <c r="G17" i="25"/>
  <c r="G17" i="26" s="1"/>
  <c r="F17" i="25"/>
  <c r="F17" i="26" s="1"/>
  <c r="E17" i="25"/>
  <c r="E17" i="26" s="1"/>
  <c r="O16" i="25"/>
  <c r="O16" i="26" s="1"/>
  <c r="N16" i="25"/>
  <c r="N16" i="26" s="1"/>
  <c r="M16" i="25"/>
  <c r="M16" i="26" s="1"/>
  <c r="L16" i="25"/>
  <c r="L16" i="26" s="1"/>
  <c r="K16" i="25"/>
  <c r="K16" i="26" s="1"/>
  <c r="J16" i="25"/>
  <c r="J16" i="26" s="1"/>
  <c r="I16" i="25"/>
  <c r="I16" i="26" s="1"/>
  <c r="H16" i="25"/>
  <c r="H16" i="26" s="1"/>
  <c r="G16" i="25"/>
  <c r="G16" i="26" s="1"/>
  <c r="F16" i="25"/>
  <c r="F16" i="26" s="1"/>
  <c r="E16" i="25"/>
  <c r="E16" i="26" s="1"/>
  <c r="O15" i="25"/>
  <c r="O15" i="26" s="1"/>
  <c r="N15" i="25"/>
  <c r="N15" i="26" s="1"/>
  <c r="M15" i="25"/>
  <c r="M15" i="26" s="1"/>
  <c r="L15" i="25"/>
  <c r="L15" i="26" s="1"/>
  <c r="K15" i="25"/>
  <c r="K15" i="26" s="1"/>
  <c r="J15" i="25"/>
  <c r="J15" i="26" s="1"/>
  <c r="I15" i="25"/>
  <c r="I15" i="26" s="1"/>
  <c r="H15" i="25"/>
  <c r="H15" i="26" s="1"/>
  <c r="G15" i="25"/>
  <c r="G15" i="26" s="1"/>
  <c r="F15" i="25"/>
  <c r="F15" i="26" s="1"/>
  <c r="E15" i="25"/>
  <c r="E15" i="26" s="1"/>
  <c r="O14" i="25"/>
  <c r="O14" i="26" s="1"/>
  <c r="N14" i="25"/>
  <c r="N14" i="26" s="1"/>
  <c r="M14" i="25"/>
  <c r="M14" i="26" s="1"/>
  <c r="L14" i="25"/>
  <c r="L14" i="26" s="1"/>
  <c r="K14" i="25"/>
  <c r="K14" i="26" s="1"/>
  <c r="J14" i="25"/>
  <c r="J14" i="26" s="1"/>
  <c r="I14" i="25"/>
  <c r="I14" i="26" s="1"/>
  <c r="H14" i="25"/>
  <c r="H14" i="26" s="1"/>
  <c r="G14" i="25"/>
  <c r="G14" i="26" s="1"/>
  <c r="F14" i="25"/>
  <c r="F14" i="26" s="1"/>
  <c r="E14" i="25"/>
  <c r="E14" i="26" s="1"/>
  <c r="O13" i="25"/>
  <c r="O13" i="26" s="1"/>
  <c r="N13" i="25"/>
  <c r="N13" i="26" s="1"/>
  <c r="M13" i="25"/>
  <c r="M13" i="26" s="1"/>
  <c r="L13" i="25"/>
  <c r="L13" i="26" s="1"/>
  <c r="K13" i="25"/>
  <c r="K13" i="26" s="1"/>
  <c r="J13" i="25"/>
  <c r="J13" i="26" s="1"/>
  <c r="I13" i="25"/>
  <c r="I13" i="26" s="1"/>
  <c r="H13" i="25"/>
  <c r="H13" i="26" s="1"/>
  <c r="G13" i="25"/>
  <c r="G13" i="26" s="1"/>
  <c r="F13" i="25"/>
  <c r="F13" i="26" s="1"/>
  <c r="E13" i="25"/>
  <c r="E13" i="26" s="1"/>
  <c r="O12" i="25"/>
  <c r="O12" i="26" s="1"/>
  <c r="N12" i="25"/>
  <c r="N12" i="26" s="1"/>
  <c r="M12" i="25"/>
  <c r="M12" i="26" s="1"/>
  <c r="L12" i="25"/>
  <c r="L12" i="26" s="1"/>
  <c r="K12" i="25"/>
  <c r="K12" i="26" s="1"/>
  <c r="J12" i="25"/>
  <c r="J12" i="26" s="1"/>
  <c r="I12" i="25"/>
  <c r="I12" i="26" s="1"/>
  <c r="H12" i="25"/>
  <c r="H12" i="26" s="1"/>
  <c r="G12" i="25"/>
  <c r="G12" i="26" s="1"/>
  <c r="F12" i="25"/>
  <c r="F12" i="26" s="1"/>
  <c r="E12" i="25"/>
  <c r="E12" i="26" s="1"/>
  <c r="O11" i="25"/>
  <c r="O11" i="26" s="1"/>
  <c r="N11" i="25"/>
  <c r="N11" i="26" s="1"/>
  <c r="M11" i="25"/>
  <c r="M11" i="26" s="1"/>
  <c r="L11" i="25"/>
  <c r="L11" i="26" s="1"/>
  <c r="K11" i="25"/>
  <c r="K11" i="26" s="1"/>
  <c r="J11" i="25"/>
  <c r="J11" i="26" s="1"/>
  <c r="I11" i="25"/>
  <c r="I11" i="26" s="1"/>
  <c r="H11" i="25"/>
  <c r="H11" i="26" s="1"/>
  <c r="G11" i="25"/>
  <c r="G11" i="26" s="1"/>
  <c r="F11" i="25"/>
  <c r="F11" i="26" s="1"/>
  <c r="E11" i="25"/>
  <c r="E11" i="26" s="1"/>
  <c r="O10" i="25"/>
  <c r="O10" i="26" s="1"/>
  <c r="N10" i="25"/>
  <c r="N10" i="26" s="1"/>
  <c r="M10" i="25"/>
  <c r="M10" i="26" s="1"/>
  <c r="L10" i="25"/>
  <c r="L10" i="26" s="1"/>
  <c r="K10" i="25"/>
  <c r="K10" i="26" s="1"/>
  <c r="J10" i="25"/>
  <c r="J10" i="26" s="1"/>
  <c r="I10" i="25"/>
  <c r="I10" i="26" s="1"/>
  <c r="H10" i="25"/>
  <c r="H10" i="26" s="1"/>
  <c r="G10" i="25"/>
  <c r="G10" i="26" s="1"/>
  <c r="F10" i="25"/>
  <c r="F10" i="26" s="1"/>
  <c r="E10" i="25"/>
  <c r="E10" i="26" s="1"/>
  <c r="O9" i="25"/>
  <c r="O9" i="26" s="1"/>
  <c r="N9" i="25"/>
  <c r="N9" i="26" s="1"/>
  <c r="M9" i="25"/>
  <c r="M9" i="26" s="1"/>
  <c r="L9" i="25"/>
  <c r="L9" i="26" s="1"/>
  <c r="K9" i="25"/>
  <c r="K9" i="26" s="1"/>
  <c r="J9" i="25"/>
  <c r="J9" i="26" s="1"/>
  <c r="I9" i="25"/>
  <c r="I9" i="26" s="1"/>
  <c r="H9" i="25"/>
  <c r="H9" i="26" s="1"/>
  <c r="G9" i="25"/>
  <c r="G9" i="26" s="1"/>
  <c r="F9" i="25"/>
  <c r="F9" i="26" s="1"/>
  <c r="E9" i="25"/>
  <c r="E9" i="26" s="1"/>
  <c r="O8" i="25"/>
  <c r="O8" i="26" s="1"/>
  <c r="N8" i="25"/>
  <c r="N8" i="26" s="1"/>
  <c r="M8" i="25"/>
  <c r="M8" i="26" s="1"/>
  <c r="L8" i="25"/>
  <c r="L8" i="26" s="1"/>
  <c r="K8" i="25"/>
  <c r="K8" i="26" s="1"/>
  <c r="J8" i="25"/>
  <c r="J8" i="26" s="1"/>
  <c r="I8" i="25"/>
  <c r="I8" i="26" s="1"/>
  <c r="H8" i="25"/>
  <c r="H8" i="26" s="1"/>
  <c r="G8" i="25"/>
  <c r="G8" i="26" s="1"/>
  <c r="F8" i="25"/>
  <c r="F8" i="26" s="1"/>
  <c r="E8" i="25"/>
  <c r="E8" i="26" s="1"/>
  <c r="O7" i="25"/>
  <c r="O7" i="26" s="1"/>
  <c r="N7" i="25"/>
  <c r="N7" i="26" s="1"/>
  <c r="M7" i="25"/>
  <c r="M7" i="26" s="1"/>
  <c r="L7" i="25"/>
  <c r="L7" i="26" s="1"/>
  <c r="K7" i="25"/>
  <c r="K7" i="26" s="1"/>
  <c r="J7" i="25"/>
  <c r="J7" i="26" s="1"/>
  <c r="I7" i="25"/>
  <c r="I7" i="26" s="1"/>
  <c r="H7" i="25"/>
  <c r="H7" i="26" s="1"/>
  <c r="G7" i="25"/>
  <c r="G7" i="26" s="1"/>
  <c r="F7" i="25"/>
  <c r="F7" i="26" s="1"/>
  <c r="E7" i="25"/>
  <c r="E7" i="26" s="1"/>
  <c r="O6" i="25"/>
  <c r="O6" i="26" s="1"/>
  <c r="N6" i="25"/>
  <c r="N6" i="26" s="1"/>
  <c r="M6" i="25"/>
  <c r="M6" i="26" s="1"/>
  <c r="L6" i="25"/>
  <c r="L6" i="26" s="1"/>
  <c r="K6" i="25"/>
  <c r="K6" i="26" s="1"/>
  <c r="J6" i="25"/>
  <c r="J6" i="26" s="1"/>
  <c r="I6" i="25"/>
  <c r="I6" i="26" s="1"/>
  <c r="H6" i="25"/>
  <c r="H6" i="26" s="1"/>
  <c r="G6" i="25"/>
  <c r="G6" i="26" s="1"/>
  <c r="F6" i="25"/>
  <c r="F6" i="26" s="1"/>
  <c r="E6" i="25"/>
  <c r="E6" i="26" s="1"/>
  <c r="E30" i="25" l="1"/>
  <c r="E30" i="26" s="1"/>
  <c r="E29" i="25"/>
  <c r="E29" i="26" s="1"/>
  <c r="M29" i="25"/>
  <c r="M29" i="26" s="1"/>
  <c r="L29" i="25"/>
  <c r="L29" i="26" s="1"/>
  <c r="M30" i="25"/>
  <c r="M30" i="26" s="1"/>
  <c r="L30" i="25"/>
  <c r="L30" i="26" s="1"/>
  <c r="N29" i="25" l="1"/>
  <c r="N29" i="26" s="1"/>
  <c r="G29" i="25" l="1"/>
  <c r="G29" i="26" s="1"/>
  <c r="K29" i="25"/>
  <c r="K29" i="26" s="1"/>
  <c r="J29" i="25"/>
  <c r="J29" i="26" s="1"/>
  <c r="F29" i="25"/>
  <c r="F29" i="26" s="1"/>
  <c r="I29" i="25"/>
  <c r="I29" i="26" s="1"/>
  <c r="H29" i="25"/>
  <c r="H29" i="26" s="1"/>
  <c r="O29" i="25" l="1"/>
  <c r="O29" i="26" s="1"/>
  <c r="N30" i="25" l="1"/>
  <c r="N30" i="26" s="1"/>
  <c r="H30" i="25" l="1"/>
  <c r="H30" i="26" s="1"/>
  <c r="O30" i="25" l="1"/>
  <c r="O30" i="26" s="1"/>
  <c r="J30" i="25"/>
  <c r="J30" i="26" s="1"/>
  <c r="I30" i="25"/>
  <c r="I30" i="26" s="1"/>
  <c r="K30" i="25"/>
  <c r="K30" i="26" s="1"/>
  <c r="G30" i="25"/>
  <c r="G30" i="26" s="1"/>
  <c r="F30" i="25"/>
  <c r="F30" i="26" s="1"/>
</calcChain>
</file>

<file path=xl/sharedStrings.xml><?xml version="1.0" encoding="utf-8"?>
<sst xmlns="http://schemas.openxmlformats.org/spreadsheetml/2006/main" count="808" uniqueCount="115">
  <si>
    <t>Network Tariff Component</t>
  </si>
  <si>
    <t>Eligibility (consumption/   category)</t>
  </si>
  <si>
    <t>Minimum Chargeable Rolling Demand</t>
  </si>
  <si>
    <t>Minimum Chargeable Demand</t>
  </si>
  <si>
    <t>Description</t>
  </si>
  <si>
    <t>Tariff Code</t>
  </si>
  <si>
    <t>PFIT (F)
TFIT (T)</t>
  </si>
  <si>
    <t>Standing Charge (c/day)</t>
  </si>
  <si>
    <t>Summer Peak Energy (c/kWh)</t>
  </si>
  <si>
    <t>Non Summer Peak Energy Block 1 (c/kWh)</t>
  </si>
  <si>
    <t>Non Summer Peak Energy Block 2 (c/kWh)</t>
  </si>
  <si>
    <t>Summer Shoulder Energy (c/kWh)</t>
  </si>
  <si>
    <t>Non Summer Shoulder Energy (c/kWh)</t>
  </si>
  <si>
    <t>Off Peak Energy (c/kWh)</t>
  </si>
  <si>
    <t>Rolling Peak Demand c/kVA/day</t>
  </si>
  <si>
    <t>Summer Demand Incentive Charge c/kW/day or c/kVA/day</t>
  </si>
  <si>
    <t>kVA</t>
  </si>
  <si>
    <t>MWh pa</t>
  </si>
  <si>
    <t>Low voltage small 1 rate</t>
  </si>
  <si>
    <t>LVS1R</t>
  </si>
  <si>
    <t>NA</t>
  </si>
  <si>
    <t>&lt;20</t>
  </si>
  <si>
    <t>Low voltage small 2 rate*</t>
  </si>
  <si>
    <t>LVS2R*</t>
  </si>
  <si>
    <t>Dedicated circuit**</t>
  </si>
  <si>
    <t>LVDed**</t>
  </si>
  <si>
    <t>&lt;20 (on LVS1R)</t>
  </si>
  <si>
    <t>Unmetered supplies</t>
  </si>
  <si>
    <t>UnMet</t>
  </si>
  <si>
    <t>Winter Energy Tariff*</t>
  </si>
  <si>
    <t>WET2Step*</t>
  </si>
  <si>
    <t>Reverse cycle airconditioning time of use*</t>
  </si>
  <si>
    <t>RCACkWTOU*</t>
  </si>
  <si>
    <t>Low voltage medium 1 rate</t>
  </si>
  <si>
    <t>LVM1R</t>
  </si>
  <si>
    <t>&gt;20 &amp; &lt;400</t>
  </si>
  <si>
    <t>Low voltage medium 2 rate 5 day*</t>
  </si>
  <si>
    <t>LVM2R5D*</t>
  </si>
  <si>
    <t>Low voltage medium 2 rate 7 day*</t>
  </si>
  <si>
    <t>LVM2R7D*</t>
  </si>
  <si>
    <t>Low voltage KW time of use*</t>
  </si>
  <si>
    <t>LVkWTOU*</t>
  </si>
  <si>
    <t>Low voltage KW time of use - HOT*</t>
  </si>
  <si>
    <t>LVkWTOUH*</t>
  </si>
  <si>
    <t>Low voltage large 1 rate*</t>
  </si>
  <si>
    <t>LVL1R*</t>
  </si>
  <si>
    <t>Low voltage large 2 rate*</t>
  </si>
  <si>
    <t>LVL2R*</t>
  </si>
  <si>
    <t>Low voltage large KVA time of use</t>
  </si>
  <si>
    <t>LVkVATOU</t>
  </si>
  <si>
    <t>&gt;150</t>
  </si>
  <si>
    <t>&gt;400</t>
  </si>
  <si>
    <t>Low voltage large KVA time of use - HOT*</t>
  </si>
  <si>
    <t>LVkVATOUH*</t>
  </si>
  <si>
    <t>High voltage KVA time of use</t>
  </si>
  <si>
    <t>HVkVATOU</t>
  </si>
  <si>
    <t>High voltage KVA time of use - HOT*</t>
  </si>
  <si>
    <t>HVkVATOUH*</t>
  </si>
  <si>
    <t>Subtransmission KVA time of use*</t>
  </si>
  <si>
    <t>SubTkVATOU*</t>
  </si>
  <si>
    <t>Time of Day</t>
  </si>
  <si>
    <t>TOD</t>
  </si>
  <si>
    <t>Time of Use</t>
  </si>
  <si>
    <t>TOU</t>
  </si>
  <si>
    <t>Time of Day 9pm off-peak</t>
  </si>
  <si>
    <t>TOD9</t>
  </si>
  <si>
    <t>Time of Day Flexible</t>
  </si>
  <si>
    <t>TODFLEX</t>
  </si>
  <si>
    <t>Residential Customer</t>
  </si>
  <si>
    <r>
      <t>*</t>
    </r>
    <r>
      <rPr>
        <sz val="10"/>
        <rFont val="Arial"/>
        <family val="2"/>
      </rPr>
      <t xml:space="preserve"> Tariff closed to premises not already taking supply under this tariff and new connections.</t>
    </r>
  </si>
  <si>
    <r>
      <t>**</t>
    </r>
    <r>
      <rPr>
        <sz val="10"/>
        <rFont val="Arial"/>
        <family val="2"/>
      </rPr>
      <t xml:space="preserve"> Tariff only available in conjunction with the LVS1R tariff for new connections.</t>
    </r>
  </si>
  <si>
    <t>Summer peak energy rates apply for period 1st November to 31st March (except TODFLEX which follows daylight savings periods) &amp; RESKWTOU which applies from 1st December to 31st March.</t>
  </si>
  <si>
    <t>Non-summer peak energy rates apply for period 1st April to 31st October (except TODFLEX which follows non-daylight savings periods) &amp; RESKWTOU which applies from 1st April to 30th November.</t>
  </si>
  <si>
    <r>
      <t xml:space="preserve">PFIT (Premium Feed-In Tariff) is defined by an “F” added to the </t>
    </r>
    <r>
      <rPr>
        <sz val="10"/>
        <rFont val="Arial"/>
        <family val="2"/>
      </rPr>
      <t xml:space="preserve">front of an existing distribution tariff ie. FTOD. The PFIT tariffs are closed to new connections. </t>
    </r>
  </si>
  <si>
    <t>Summer Demand Overrun Max kW  c/KW/day</t>
  </si>
  <si>
    <t>Non-summer Demand Overrun Max kW  c/KW/day</t>
  </si>
  <si>
    <t>Non-summer Demand Max kW  c/KW/day</t>
  </si>
  <si>
    <t>Summer Demand Max kW  c/KW/day</t>
  </si>
  <si>
    <t>kW</t>
  </si>
  <si>
    <t>UED Network Tariff Description</t>
  </si>
  <si>
    <t>UED Tariff Code</t>
  </si>
  <si>
    <t>PFIT/TFIT Pass Through Charge (c/cust/day)</t>
  </si>
  <si>
    <t>* Tariff closed to premises not already taking supply under this tariff and new connections.</t>
  </si>
  <si>
    <t>Metering Data Services (Unmetered Supplies)</t>
  </si>
  <si>
    <t>$/light/annum</t>
  </si>
  <si>
    <t>Per light</t>
  </si>
  <si>
    <t>LVMKWTOU</t>
  </si>
  <si>
    <t>Schedule of Indicative Distribution Use of System (DUOS) Tariffs: 1 January 2017 (GST Exclusive)</t>
  </si>
  <si>
    <t>Schedule of Indicative Transmission Use of System (TUOS) Tariffs: 1 January 2017 (GST Exclusive)</t>
  </si>
  <si>
    <t>Schedule of Indicative Network Use of System (NUOS) Tariffs: 1 January 2017 (GST Exclusive)</t>
  </si>
  <si>
    <t>Schedule of Indicative Distribution Use of System (DUOS) Tariffs: 1 January 2017 (GST Inclusive)</t>
  </si>
  <si>
    <t>Schedule of Indicative Transmission Use of System (TUOS) Tariffs: 1 January 2017 (GSTInclusive)</t>
  </si>
  <si>
    <t>UED PFIT/TFIT pass through charge: 1 January 2017 (GST Exclusive)</t>
  </si>
  <si>
    <t>2017 Prescribed Metering Service Charges (GST Exclusive)</t>
  </si>
  <si>
    <t>Low Voltage Medium kW Time of Use (Opt-in)</t>
  </si>
  <si>
    <t>Low Voltage Medium kW 1 rate (Mandatory)</t>
  </si>
  <si>
    <t>UED PFIT/TFIT pass through charge: 1 January 2017 (GST Inclusive)</t>
  </si>
  <si>
    <t>2017 Prescribed Metering Service Charges (GST Inclusive)</t>
  </si>
  <si>
    <t>&gt;40 &amp; &lt;400</t>
  </si>
  <si>
    <t>F</t>
  </si>
  <si>
    <r>
      <rPr>
        <vertAlign val="superscript"/>
        <sz val="10"/>
        <rFont val="Arial"/>
        <family val="2"/>
      </rPr>
      <t>1</t>
    </r>
    <r>
      <rPr>
        <sz val="10"/>
        <rFont val="Arial"/>
        <family val="2"/>
      </rPr>
      <t xml:space="preserve"> RESKW1R csutomers transitioned from RESKWTOU on 1 April 2016.</t>
    </r>
  </si>
  <si>
    <r>
      <t>1</t>
    </r>
    <r>
      <rPr>
        <sz val="10"/>
        <rFont val="Arial"/>
        <family val="2"/>
      </rPr>
      <t xml:space="preserve"> RESKW1R csutomers transitioned from RESKWTOU on 1 April 2016.</t>
    </r>
  </si>
  <si>
    <r>
      <t>Low voltage KW 1 rate</t>
    </r>
    <r>
      <rPr>
        <vertAlign val="superscript"/>
        <sz val="10"/>
        <rFont val="Arial"/>
        <family val="2"/>
      </rPr>
      <t>1</t>
    </r>
  </si>
  <si>
    <r>
      <t>Low Voltage Medium kW Time of Use (Opt-in)</t>
    </r>
    <r>
      <rPr>
        <vertAlign val="superscript"/>
        <sz val="10"/>
        <rFont val="Arial"/>
        <family val="2"/>
      </rPr>
      <t>2</t>
    </r>
  </si>
  <si>
    <r>
      <t>RESKW1R</t>
    </r>
    <r>
      <rPr>
        <vertAlign val="superscript"/>
        <sz val="10"/>
        <rFont val="Arial"/>
        <family val="2"/>
      </rPr>
      <t>1</t>
    </r>
  </si>
  <si>
    <r>
      <t>Low Voltage Medium kW 1 rate (Mandatory)</t>
    </r>
    <r>
      <rPr>
        <vertAlign val="superscript"/>
        <sz val="10"/>
        <rFont val="Arial"/>
        <family val="2"/>
      </rPr>
      <t>3</t>
    </r>
  </si>
  <si>
    <r>
      <t>LVMKWTOU</t>
    </r>
    <r>
      <rPr>
        <vertAlign val="superscript"/>
        <sz val="10"/>
        <rFont val="Arial"/>
        <family val="2"/>
      </rPr>
      <t>2</t>
    </r>
  </si>
  <si>
    <r>
      <t>LVMKW1R</t>
    </r>
    <r>
      <rPr>
        <vertAlign val="superscript"/>
        <sz val="10"/>
        <rFont val="Arial"/>
        <family val="2"/>
      </rPr>
      <t>3</t>
    </r>
  </si>
  <si>
    <t>Low voltage KW 1 rate</t>
  </si>
  <si>
    <t>RESKW1R</t>
  </si>
  <si>
    <t>LVMKW1R</t>
  </si>
  <si>
    <r>
      <t>2</t>
    </r>
    <r>
      <rPr>
        <sz val="10"/>
        <rFont val="Arial"/>
        <family val="2"/>
      </rPr>
      <t xml:space="preserve"> LVMKWTOU available from 1st July 2016 for low voltage business customers with energy consumption between 20-40MWh per annum as an opt-in transition.</t>
    </r>
  </si>
  <si>
    <r>
      <t>2</t>
    </r>
    <r>
      <rPr>
        <sz val="10"/>
        <rFont val="Arial"/>
        <family val="2"/>
      </rPr>
      <t xml:space="preserve"> LVMKWTOU available from 1st July 2016 for low voltage business customers with energy consumption between 20-40MWh per annum as an opt-in transition.</t>
    </r>
  </si>
  <si>
    <r>
      <t>3</t>
    </r>
    <r>
      <rPr>
        <sz val="10"/>
        <rFont val="Arial"/>
        <family val="2"/>
      </rPr>
      <t xml:space="preserve"> LVMKW1R available from 1st January 2017 for low voltage business customers with energy consumption between 40-400MWh per annum as a mandatory transition.</t>
    </r>
  </si>
  <si>
    <r>
      <t>3</t>
    </r>
    <r>
      <rPr>
        <sz val="10"/>
        <rFont val="Arial"/>
        <family val="2"/>
      </rPr>
      <t xml:space="preserve"> LVMKW1R available from 1st January 2017 for low voltage business customers with energy consumption between 40-400MWh per annum as a mandatory transition.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</si>
</sst>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-&quot;$&quot;* #,##0.00_-;\-&quot;$&quot;* #,##0.00_-;_-&quot;$&quot;* &quot;-&quot;??_-;_-@_-"/>
    <numFmt numFmtId="164" formatCode="0.000"/>
    <numFmt numFmtId="165" formatCode="#,##0.0"/>
    <numFmt numFmtId="166" formatCode="&quot;$&quot;#,##0.000"/>
    <numFmt numFmtId="167" formatCode="0.0000"/>
    <numFmt numFmtId="168" formatCode="&quot;$&quot;#,##0.0000"/>
  </numFmts>
  <fonts count="13" x14ac:knownFonts="1">
    <font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sz val="10"/>
      <color rgb="FFFF0000"/>
      <name val="Arial"/>
      <family val="2"/>
    </font>
    <font>
      <b/>
      <sz val="10"/>
      <name val="Arial"/>
      <family val="2"/>
    </font>
    <font>
      <sz val="10"/>
      <color theme="0" tint="-0.14999847407452621"/>
      <name val="Arial"/>
      <family val="2"/>
    </font>
    <font>
      <vertAlign val="superscript"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indexed="9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10" fillId="0" borderId="0"/>
    <xf numFmtId="0" fontId="1" fillId="0" borderId="0"/>
  </cellStyleXfs>
  <cellXfs count="127">
    <xf numFmtId="0" fontId="0" fillId="0" borderId="0" xfId="0"/>
    <xf numFmtId="0" fontId="0" fillId="0" borderId="3" xfId="0" applyBorder="1" applyAlignment="1"/>
    <xf numFmtId="0" fontId="3" fillId="0" borderId="0" xfId="0" applyFont="1"/>
    <xf numFmtId="0" fontId="4" fillId="2" borderId="7" xfId="0" applyFont="1" applyFill="1" applyBorder="1"/>
    <xf numFmtId="0" fontId="4" fillId="2" borderId="1" xfId="0" applyFont="1" applyFill="1" applyBorder="1"/>
    <xf numFmtId="0" fontId="4" fillId="2" borderId="11" xfId="0" applyFont="1" applyFill="1" applyBorder="1" applyAlignment="1">
      <alignment horizontal="center" vertical="center" wrapText="1"/>
    </xf>
    <xf numFmtId="0" fontId="5" fillId="0" borderId="0" xfId="0" applyFont="1" applyFill="1"/>
    <xf numFmtId="0" fontId="4" fillId="2" borderId="12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 wrapText="1"/>
    </xf>
    <xf numFmtId="0" fontId="4" fillId="2" borderId="13" xfId="0" applyFont="1" applyFill="1" applyBorder="1" applyAlignment="1">
      <alignment horizontal="center" wrapText="1"/>
    </xf>
    <xf numFmtId="0" fontId="4" fillId="2" borderId="14" xfId="0" applyFont="1" applyFill="1" applyBorder="1" applyAlignment="1">
      <alignment horizontal="center" wrapText="1"/>
    </xf>
    <xf numFmtId="0" fontId="4" fillId="2" borderId="15" xfId="0" applyFont="1" applyFill="1" applyBorder="1" applyAlignment="1">
      <alignment horizontal="center" wrapText="1"/>
    </xf>
    <xf numFmtId="0" fontId="4" fillId="2" borderId="13" xfId="0" applyFont="1" applyFill="1" applyBorder="1" applyAlignment="1">
      <alignment horizontal="center"/>
    </xf>
    <xf numFmtId="0" fontId="4" fillId="2" borderId="16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 wrapText="1"/>
    </xf>
    <xf numFmtId="0" fontId="4" fillId="2" borderId="6" xfId="0" applyFont="1" applyFill="1" applyBorder="1" applyAlignment="1">
      <alignment horizontal="center" wrapText="1"/>
    </xf>
    <xf numFmtId="0" fontId="0" fillId="0" borderId="7" xfId="0" applyBorder="1" applyAlignment="1">
      <alignment wrapText="1"/>
    </xf>
    <xf numFmtId="0" fontId="0" fillId="0" borderId="1" xfId="0" applyBorder="1"/>
    <xf numFmtId="0" fontId="0" fillId="0" borderId="20" xfId="0" applyBorder="1" applyAlignment="1">
      <alignment wrapText="1"/>
    </xf>
    <xf numFmtId="0" fontId="0" fillId="0" borderId="21" xfId="0" applyBorder="1"/>
    <xf numFmtId="0" fontId="0" fillId="0" borderId="27" xfId="0" applyBorder="1" applyAlignment="1">
      <alignment wrapText="1"/>
    </xf>
    <xf numFmtId="0" fontId="0" fillId="0" borderId="28" xfId="0" applyBorder="1"/>
    <xf numFmtId="0" fontId="0" fillId="0" borderId="2" xfId="0" applyBorder="1"/>
    <xf numFmtId="164" fontId="0" fillId="0" borderId="2" xfId="0" applyNumberFormat="1" applyFill="1" applyBorder="1"/>
    <xf numFmtId="0" fontId="0" fillId="0" borderId="3" xfId="0" applyBorder="1"/>
    <xf numFmtId="0" fontId="0" fillId="0" borderId="0" xfId="0" applyBorder="1"/>
    <xf numFmtId="0" fontId="0" fillId="0" borderId="34" xfId="0" applyBorder="1"/>
    <xf numFmtId="0" fontId="1" fillId="0" borderId="4" xfId="0" applyFont="1" applyBorder="1" applyAlignment="1"/>
    <xf numFmtId="0" fontId="1" fillId="0" borderId="5" xfId="0" applyFont="1" applyBorder="1" applyAlignment="1"/>
    <xf numFmtId="0" fontId="1" fillId="0" borderId="6" xfId="0" applyFont="1" applyBorder="1" applyAlignment="1"/>
    <xf numFmtId="164" fontId="0" fillId="0" borderId="0" xfId="0" applyNumberFormat="1" applyBorder="1"/>
    <xf numFmtId="0" fontId="7" fillId="0" borderId="0" xfId="0" applyFont="1"/>
    <xf numFmtId="0" fontId="2" fillId="0" borderId="4" xfId="0" applyFont="1" applyBorder="1" applyAlignment="1">
      <alignment horizontal="center"/>
    </xf>
    <xf numFmtId="0" fontId="0" fillId="0" borderId="5" xfId="0" applyBorder="1" applyAlignment="1"/>
    <xf numFmtId="0" fontId="0" fillId="0" borderId="6" xfId="0" applyBorder="1" applyAlignment="1"/>
    <xf numFmtId="0" fontId="0" fillId="0" borderId="28" xfId="0" applyFont="1" applyBorder="1"/>
    <xf numFmtId="0" fontId="0" fillId="0" borderId="27" xfId="0" applyFont="1" applyBorder="1" applyAlignment="1">
      <alignment wrapText="1"/>
    </xf>
    <xf numFmtId="0" fontId="1" fillId="0" borderId="33" xfId="0" applyFont="1" applyFill="1" applyBorder="1"/>
    <xf numFmtId="0" fontId="0" fillId="0" borderId="33" xfId="0" applyFill="1" applyBorder="1"/>
    <xf numFmtId="164" fontId="0" fillId="0" borderId="29" xfId="0" applyNumberFormat="1" applyFont="1" applyFill="1" applyBorder="1"/>
    <xf numFmtId="164" fontId="0" fillId="0" borderId="30" xfId="0" applyNumberFormat="1" applyFont="1" applyFill="1" applyBorder="1"/>
    <xf numFmtId="164" fontId="0" fillId="0" borderId="31" xfId="0" applyNumberFormat="1" applyFont="1" applyFill="1" applyBorder="1"/>
    <xf numFmtId="164" fontId="0" fillId="0" borderId="23" xfId="0" applyNumberFormat="1" applyFont="1" applyFill="1" applyBorder="1"/>
    <xf numFmtId="164" fontId="0" fillId="0" borderId="24" xfId="0" applyNumberFormat="1" applyFont="1" applyFill="1" applyBorder="1"/>
    <xf numFmtId="3" fontId="0" fillId="0" borderId="27" xfId="0" applyNumberFormat="1" applyFont="1" applyFill="1" applyBorder="1"/>
    <xf numFmtId="3" fontId="0" fillId="0" borderId="32" xfId="0" applyNumberFormat="1" applyFont="1" applyFill="1" applyBorder="1"/>
    <xf numFmtId="164" fontId="0" fillId="0" borderId="17" xfId="0" applyNumberFormat="1" applyFont="1" applyFill="1" applyBorder="1"/>
    <xf numFmtId="164" fontId="0" fillId="0" borderId="18" xfId="0" applyNumberFormat="1" applyFont="1" applyFill="1" applyBorder="1"/>
    <xf numFmtId="164" fontId="0" fillId="0" borderId="22" xfId="0" applyNumberFormat="1" applyFont="1" applyFill="1" applyBorder="1"/>
    <xf numFmtId="164" fontId="0" fillId="0" borderId="35" xfId="0" applyNumberFormat="1" applyFont="1" applyFill="1" applyBorder="1"/>
    <xf numFmtId="164" fontId="0" fillId="0" borderId="2" xfId="0" applyNumberFormat="1" applyFont="1" applyFill="1" applyBorder="1"/>
    <xf numFmtId="0" fontId="0" fillId="0" borderId="0" xfId="0" applyFill="1"/>
    <xf numFmtId="0" fontId="3" fillId="0" borderId="0" xfId="0" applyFont="1" applyFill="1"/>
    <xf numFmtId="0" fontId="6" fillId="0" borderId="0" xfId="0" applyFont="1" applyFill="1" applyAlignment="1">
      <alignment horizontal="center"/>
    </xf>
    <xf numFmtId="0" fontId="0" fillId="0" borderId="33" xfId="0" applyFont="1" applyFill="1" applyBorder="1" applyAlignment="1"/>
    <xf numFmtId="0" fontId="9" fillId="0" borderId="33" xfId="0" applyFont="1" applyFill="1" applyBorder="1" applyAlignment="1"/>
    <xf numFmtId="0" fontId="0" fillId="0" borderId="7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0" fontId="8" fillId="0" borderId="20" xfId="0" applyFont="1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2" xfId="0" applyFill="1" applyBorder="1"/>
    <xf numFmtId="0" fontId="0" fillId="0" borderId="17" xfId="0" applyFont="1" applyFill="1" applyBorder="1"/>
    <xf numFmtId="0" fontId="0" fillId="0" borderId="19" xfId="0" applyFont="1" applyFill="1" applyBorder="1"/>
    <xf numFmtId="3" fontId="0" fillId="0" borderId="7" xfId="0" applyNumberFormat="1" applyFont="1" applyFill="1" applyBorder="1"/>
    <xf numFmtId="3" fontId="0" fillId="0" borderId="3" xfId="0" applyNumberFormat="1" applyFont="1" applyFill="1" applyBorder="1"/>
    <xf numFmtId="0" fontId="0" fillId="0" borderId="22" xfId="0" applyFont="1" applyFill="1" applyBorder="1"/>
    <xf numFmtId="0" fontId="0" fillId="0" borderId="25" xfId="0" applyFont="1" applyFill="1" applyBorder="1"/>
    <xf numFmtId="3" fontId="0" fillId="0" borderId="20" xfId="0" applyNumberFormat="1" applyFont="1" applyFill="1" applyBorder="1"/>
    <xf numFmtId="3" fontId="0" fillId="0" borderId="26" xfId="0" applyNumberFormat="1" applyFont="1" applyFill="1" applyBorder="1"/>
    <xf numFmtId="0" fontId="0" fillId="0" borderId="25" xfId="0" applyFont="1" applyFill="1" applyBorder="1" applyAlignment="1">
      <alignment wrapText="1"/>
    </xf>
    <xf numFmtId="0" fontId="0" fillId="0" borderId="20" xfId="0" applyFont="1" applyFill="1" applyBorder="1"/>
    <xf numFmtId="0" fontId="0" fillId="0" borderId="26" xfId="0" applyFont="1" applyFill="1" applyBorder="1"/>
    <xf numFmtId="165" fontId="0" fillId="0" borderId="32" xfId="0" applyNumberFormat="1" applyFont="1" applyFill="1" applyBorder="1"/>
    <xf numFmtId="0" fontId="0" fillId="0" borderId="2" xfId="0" applyFont="1" applyFill="1" applyBorder="1"/>
    <xf numFmtId="0" fontId="0" fillId="0" borderId="3" xfId="0" applyFont="1" applyFill="1" applyBorder="1"/>
    <xf numFmtId="0" fontId="3" fillId="0" borderId="0" xfId="2" applyFont="1"/>
    <xf numFmtId="0" fontId="5" fillId="0" borderId="0" xfId="2" applyFont="1" applyFill="1"/>
    <xf numFmtId="0" fontId="10" fillId="0" borderId="7" xfId="2" applyBorder="1" applyAlignment="1">
      <alignment wrapText="1"/>
    </xf>
    <xf numFmtId="0" fontId="10" fillId="0" borderId="1" xfId="2" applyBorder="1"/>
    <xf numFmtId="164" fontId="10" fillId="0" borderId="36" xfId="2" applyNumberFormat="1" applyBorder="1"/>
    <xf numFmtId="0" fontId="10" fillId="0" borderId="0" xfId="2"/>
    <xf numFmtId="0" fontId="10" fillId="0" borderId="20" xfId="2" applyBorder="1" applyAlignment="1">
      <alignment wrapText="1"/>
    </xf>
    <xf numFmtId="0" fontId="10" fillId="0" borderId="21" xfId="2" applyBorder="1"/>
    <xf numFmtId="164" fontId="10" fillId="0" borderId="20" xfId="2" applyNumberFormat="1" applyBorder="1"/>
    <xf numFmtId="164" fontId="10" fillId="0" borderId="37" xfId="2" applyNumberFormat="1" applyBorder="1"/>
    <xf numFmtId="0" fontId="10" fillId="3" borderId="1" xfId="2" applyFill="1" applyBorder="1"/>
    <xf numFmtId="0" fontId="10" fillId="3" borderId="2" xfId="2" applyFill="1" applyBorder="1"/>
    <xf numFmtId="0" fontId="10" fillId="3" borderId="3" xfId="2" applyFill="1" applyBorder="1"/>
    <xf numFmtId="0" fontId="10" fillId="0" borderId="33" xfId="2" applyBorder="1"/>
    <xf numFmtId="0" fontId="10" fillId="3" borderId="0" xfId="2" applyFill="1" applyBorder="1"/>
    <xf numFmtId="0" fontId="10" fillId="3" borderId="34" xfId="2" applyFill="1" applyBorder="1"/>
    <xf numFmtId="0" fontId="10" fillId="0" borderId="0" xfId="2" applyBorder="1"/>
    <xf numFmtId="0" fontId="7" fillId="0" borderId="0" xfId="2" applyFont="1" applyBorder="1"/>
    <xf numFmtId="0" fontId="2" fillId="0" borderId="0" xfId="2" applyFont="1"/>
    <xf numFmtId="0" fontId="11" fillId="0" borderId="0" xfId="2" applyFont="1"/>
    <xf numFmtId="0" fontId="1" fillId="0" borderId="23" xfId="3" applyFont="1" applyBorder="1"/>
    <xf numFmtId="166" fontId="1" fillId="0" borderId="23" xfId="1" applyNumberFormat="1" applyFont="1" applyFill="1" applyBorder="1"/>
    <xf numFmtId="0" fontId="4" fillId="2" borderId="11" xfId="2" applyFont="1" applyFill="1" applyBorder="1" applyAlignment="1">
      <alignment horizontal="center" vertical="center"/>
    </xf>
    <xf numFmtId="0" fontId="4" fillId="2" borderId="11" xfId="2" applyFont="1" applyFill="1" applyBorder="1" applyAlignment="1">
      <alignment horizontal="center" vertical="center" wrapText="1"/>
    </xf>
    <xf numFmtId="0" fontId="4" fillId="2" borderId="23" xfId="3" applyFont="1" applyFill="1" applyBorder="1"/>
    <xf numFmtId="166" fontId="4" fillId="2" borderId="23" xfId="1" applyNumberFormat="1" applyFont="1" applyFill="1" applyBorder="1" applyAlignment="1">
      <alignment horizontal="center"/>
    </xf>
    <xf numFmtId="167" fontId="0" fillId="0" borderId="23" xfId="0" applyNumberFormat="1" applyFont="1" applyFill="1" applyBorder="1"/>
    <xf numFmtId="167" fontId="0" fillId="0" borderId="35" xfId="0" applyNumberFormat="1" applyFont="1" applyFill="1" applyBorder="1"/>
    <xf numFmtId="167" fontId="0" fillId="0" borderId="24" xfId="0" applyNumberFormat="1" applyFont="1" applyFill="1" applyBorder="1"/>
    <xf numFmtId="168" fontId="1" fillId="0" borderId="23" xfId="1" applyNumberFormat="1" applyFont="1" applyFill="1" applyBorder="1"/>
    <xf numFmtId="0" fontId="0" fillId="0" borderId="20" xfId="2" applyFont="1" applyBorder="1" applyAlignment="1">
      <alignment wrapText="1"/>
    </xf>
    <xf numFmtId="0" fontId="0" fillId="0" borderId="21" xfId="2" applyFont="1" applyBorder="1"/>
    <xf numFmtId="0" fontId="2" fillId="0" borderId="1" xfId="0" applyFont="1" applyBorder="1" applyAlignment="1">
      <alignment horizontal="center"/>
    </xf>
    <xf numFmtId="0" fontId="0" fillId="0" borderId="2" xfId="0" applyBorder="1" applyAlignment="1"/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 wrapText="1"/>
    </xf>
    <xf numFmtId="0" fontId="0" fillId="0" borderId="28" xfId="0" applyFont="1" applyFill="1" applyBorder="1" applyAlignment="1">
      <alignment horizontal="center"/>
    </xf>
    <xf numFmtId="0" fontId="0" fillId="0" borderId="32" xfId="0" applyFont="1" applyFill="1" applyBorder="1" applyAlignment="1">
      <alignment horizontal="center"/>
    </xf>
    <xf numFmtId="0" fontId="11" fillId="0" borderId="0" xfId="2" applyFont="1" applyBorder="1" applyAlignment="1">
      <alignment horizontal="center"/>
    </xf>
    <xf numFmtId="0" fontId="12" fillId="0" borderId="0" xfId="2" applyFont="1" applyBorder="1" applyAlignment="1"/>
    <xf numFmtId="0" fontId="1" fillId="0" borderId="33" xfId="2" applyFont="1" applyBorder="1" applyAlignment="1">
      <alignment horizontal="left" wrapText="1"/>
    </xf>
    <xf numFmtId="0" fontId="1" fillId="0" borderId="0" xfId="2" applyFont="1" applyBorder="1" applyAlignment="1">
      <alignment horizontal="left" wrapText="1"/>
    </xf>
    <xf numFmtId="0" fontId="1" fillId="0" borderId="34" xfId="2" applyFont="1" applyBorder="1" applyAlignment="1">
      <alignment horizontal="left" wrapText="1"/>
    </xf>
    <xf numFmtId="0" fontId="1" fillId="0" borderId="4" xfId="2" applyFont="1" applyBorder="1" applyAlignment="1">
      <alignment horizontal="left" wrapText="1"/>
    </xf>
    <xf numFmtId="0" fontId="1" fillId="0" borderId="5" xfId="2" applyFont="1" applyBorder="1" applyAlignment="1">
      <alignment horizontal="left" wrapText="1"/>
    </xf>
    <xf numFmtId="0" fontId="1" fillId="0" borderId="6" xfId="2" applyFont="1" applyBorder="1" applyAlignment="1">
      <alignment horizontal="left" wrapText="1"/>
    </xf>
    <xf numFmtId="0" fontId="11" fillId="0" borderId="0" xfId="2" applyFont="1" applyBorder="1" applyAlignment="1">
      <alignment horizontal="left"/>
    </xf>
    <xf numFmtId="0" fontId="12" fillId="0" borderId="0" xfId="2" applyFont="1" applyBorder="1" applyAlignment="1">
      <alignment horizontal="left"/>
    </xf>
  </cellXfs>
  <cellStyles count="4">
    <cellStyle name="Currency" xfId="1" builtinId="4"/>
    <cellStyle name="Normal" xfId="0" builtinId="0"/>
    <cellStyle name="Normal 2" xfId="2"/>
    <cellStyle name="Normal_United Energy Financial Model Draft Decision (Original)" xfId="3"/>
  </cellStyles>
  <dxfs count="0"/>
  <tableStyles count="0" defaultTableStyle="TableStyleMedium2" defaultPivotStyle="PivotStyleLight16"/>
  <colors>
    <mruColors>
      <color rgb="FF12DBF6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V95"/>
  <sheetViews>
    <sheetView showGridLines="0" showZeros="0" tabSelected="1" zoomScale="60" zoomScaleNormal="60" workbookViewId="0"/>
  </sheetViews>
  <sheetFormatPr defaultRowHeight="12.75" x14ac:dyDescent="0.2"/>
  <cols>
    <col min="1" max="1" width="4.7109375" style="52" customWidth="1"/>
    <col min="2" max="2" width="27.7109375" customWidth="1"/>
    <col min="3" max="3" width="21.85546875" customWidth="1"/>
    <col min="4" max="4" width="10.42578125" customWidth="1"/>
    <col min="5" max="6" width="11.140625" customWidth="1"/>
    <col min="7" max="7" width="13.5703125" customWidth="1"/>
    <col min="8" max="11" width="11.140625" customWidth="1"/>
    <col min="12" max="13" width="13.28515625" customWidth="1"/>
    <col min="14" max="17" width="12.28515625" customWidth="1"/>
    <col min="18" max="19" width="11.7109375" customWidth="1"/>
    <col min="20" max="21" width="14.28515625" customWidth="1"/>
    <col min="22" max="22" width="9.5703125" customWidth="1"/>
  </cols>
  <sheetData>
    <row r="1" spans="1:21" ht="12.75" customHeight="1" thickBot="1" x14ac:dyDescent="0.25"/>
    <row r="2" spans="1:21" s="2" customFormat="1" ht="18" x14ac:dyDescent="0.25">
      <c r="A2" s="53"/>
      <c r="B2" s="108" t="s">
        <v>87</v>
      </c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"/>
    </row>
    <row r="3" spans="1:21" s="2" customFormat="1" ht="18.75" thickBot="1" x14ac:dyDescent="0.3">
      <c r="A3" s="53"/>
      <c r="B3" s="33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5"/>
    </row>
    <row r="4" spans="1:21" s="6" customFormat="1" ht="63" customHeight="1" thickBot="1" x14ac:dyDescent="0.25">
      <c r="B4" s="3"/>
      <c r="C4" s="4"/>
      <c r="D4" s="4"/>
      <c r="E4" s="110" t="s">
        <v>0</v>
      </c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2"/>
      <c r="R4" s="113" t="s">
        <v>1</v>
      </c>
      <c r="S4" s="114"/>
      <c r="T4" s="5" t="s">
        <v>2</v>
      </c>
      <c r="U4" s="5" t="s">
        <v>3</v>
      </c>
    </row>
    <row r="5" spans="1:21" s="6" customFormat="1" ht="99" customHeight="1" thickBot="1" x14ac:dyDescent="0.25">
      <c r="B5" s="7" t="s">
        <v>4</v>
      </c>
      <c r="C5" s="8" t="s">
        <v>5</v>
      </c>
      <c r="D5" s="9" t="s">
        <v>6</v>
      </c>
      <c r="E5" s="10" t="s">
        <v>7</v>
      </c>
      <c r="F5" s="11" t="s">
        <v>8</v>
      </c>
      <c r="G5" s="11" t="s">
        <v>9</v>
      </c>
      <c r="H5" s="11" t="s">
        <v>10</v>
      </c>
      <c r="I5" s="11" t="s">
        <v>11</v>
      </c>
      <c r="J5" s="11" t="s">
        <v>12</v>
      </c>
      <c r="K5" s="11" t="s">
        <v>13</v>
      </c>
      <c r="L5" s="11" t="s">
        <v>14</v>
      </c>
      <c r="M5" s="12" t="s">
        <v>15</v>
      </c>
      <c r="N5" s="12" t="s">
        <v>77</v>
      </c>
      <c r="O5" s="12" t="s">
        <v>76</v>
      </c>
      <c r="P5" s="12" t="s">
        <v>74</v>
      </c>
      <c r="Q5" s="12" t="s">
        <v>75</v>
      </c>
      <c r="R5" s="13" t="s">
        <v>16</v>
      </c>
      <c r="S5" s="14" t="s">
        <v>17</v>
      </c>
      <c r="T5" s="15" t="s">
        <v>16</v>
      </c>
      <c r="U5" s="16" t="s">
        <v>78</v>
      </c>
    </row>
    <row r="6" spans="1:21" ht="27.75" customHeight="1" x14ac:dyDescent="0.2">
      <c r="A6" s="54"/>
      <c r="B6" s="17" t="s">
        <v>18</v>
      </c>
      <c r="C6" s="18" t="s">
        <v>19</v>
      </c>
      <c r="D6" s="57" t="s">
        <v>99</v>
      </c>
      <c r="E6" s="49">
        <v>6.6520000000000001</v>
      </c>
      <c r="F6" s="43">
        <v>8.202</v>
      </c>
      <c r="G6" s="43">
        <v>5.28</v>
      </c>
      <c r="H6" s="43">
        <v>0</v>
      </c>
      <c r="I6" s="43">
        <v>0</v>
      </c>
      <c r="J6" s="43">
        <v>0</v>
      </c>
      <c r="K6" s="43">
        <v>0</v>
      </c>
      <c r="L6" s="43">
        <v>0</v>
      </c>
      <c r="M6" s="43">
        <v>0</v>
      </c>
      <c r="N6" s="43">
        <v>0</v>
      </c>
      <c r="O6" s="43">
        <v>0</v>
      </c>
      <c r="P6" s="103">
        <v>0</v>
      </c>
      <c r="Q6" s="103">
        <v>0</v>
      </c>
      <c r="R6" s="62" t="s">
        <v>20</v>
      </c>
      <c r="S6" s="63" t="s">
        <v>21</v>
      </c>
      <c r="T6" s="64"/>
      <c r="U6" s="65"/>
    </row>
    <row r="7" spans="1:21" ht="27.75" customHeight="1" x14ac:dyDescent="0.2">
      <c r="A7" s="54"/>
      <c r="B7" s="19" t="s">
        <v>22</v>
      </c>
      <c r="C7" s="20" t="s">
        <v>23</v>
      </c>
      <c r="D7" s="58"/>
      <c r="E7" s="49">
        <v>13.586</v>
      </c>
      <c r="F7" s="43">
        <v>9.7509999999999994</v>
      </c>
      <c r="G7" s="43">
        <v>7.3959999999999999</v>
      </c>
      <c r="H7" s="43">
        <v>0</v>
      </c>
      <c r="I7" s="43">
        <v>0</v>
      </c>
      <c r="J7" s="43">
        <v>0</v>
      </c>
      <c r="K7" s="43">
        <v>1.6910000000000001</v>
      </c>
      <c r="L7" s="43">
        <v>0</v>
      </c>
      <c r="M7" s="44">
        <v>0</v>
      </c>
      <c r="N7" s="43">
        <v>0</v>
      </c>
      <c r="O7" s="43">
        <v>0</v>
      </c>
      <c r="P7" s="104">
        <v>0</v>
      </c>
      <c r="Q7" s="102">
        <v>0</v>
      </c>
      <c r="R7" s="66"/>
      <c r="S7" s="67"/>
      <c r="T7" s="68"/>
      <c r="U7" s="69"/>
    </row>
    <row r="8" spans="1:21" ht="27.75" customHeight="1" x14ac:dyDescent="0.2">
      <c r="A8" s="54"/>
      <c r="B8" s="19" t="s">
        <v>24</v>
      </c>
      <c r="C8" s="20" t="s">
        <v>25</v>
      </c>
      <c r="D8" s="58"/>
      <c r="E8" s="49">
        <v>0</v>
      </c>
      <c r="F8" s="43">
        <v>0</v>
      </c>
      <c r="G8" s="43">
        <v>0</v>
      </c>
      <c r="H8" s="43">
        <v>0</v>
      </c>
      <c r="I8" s="43">
        <v>0</v>
      </c>
      <c r="J8" s="43">
        <v>0</v>
      </c>
      <c r="K8" s="43">
        <v>1.871</v>
      </c>
      <c r="L8" s="43">
        <v>0</v>
      </c>
      <c r="M8" s="44">
        <v>0</v>
      </c>
      <c r="N8" s="43">
        <v>0</v>
      </c>
      <c r="O8" s="43">
        <v>0</v>
      </c>
      <c r="P8" s="104">
        <v>0</v>
      </c>
      <c r="Q8" s="102">
        <v>0</v>
      </c>
      <c r="R8" s="66" t="s">
        <v>20</v>
      </c>
      <c r="S8" s="70" t="s">
        <v>26</v>
      </c>
      <c r="T8" s="71"/>
      <c r="U8" s="72"/>
    </row>
    <row r="9" spans="1:21" ht="27.75" customHeight="1" x14ac:dyDescent="0.2">
      <c r="A9" s="54"/>
      <c r="B9" s="19" t="s">
        <v>27</v>
      </c>
      <c r="C9" s="20" t="s">
        <v>28</v>
      </c>
      <c r="D9" s="58"/>
      <c r="E9" s="49">
        <v>0</v>
      </c>
      <c r="F9" s="43">
        <v>8.1969999999999992</v>
      </c>
      <c r="G9" s="43">
        <v>5.9960000000000004</v>
      </c>
      <c r="H9" s="43">
        <v>0</v>
      </c>
      <c r="I9" s="43">
        <v>0</v>
      </c>
      <c r="J9" s="43">
        <v>0</v>
      </c>
      <c r="K9" s="43">
        <v>1.478</v>
      </c>
      <c r="L9" s="43">
        <v>0</v>
      </c>
      <c r="M9" s="44">
        <v>0</v>
      </c>
      <c r="N9" s="43">
        <v>0</v>
      </c>
      <c r="O9" s="43">
        <v>0</v>
      </c>
      <c r="P9" s="104">
        <v>0</v>
      </c>
      <c r="Q9" s="102">
        <v>0</v>
      </c>
      <c r="R9" s="66"/>
      <c r="S9" s="67"/>
      <c r="T9" s="71"/>
      <c r="U9" s="72"/>
    </row>
    <row r="10" spans="1:21" ht="27.75" customHeight="1" x14ac:dyDescent="0.2">
      <c r="A10" s="54"/>
      <c r="B10" s="19" t="s">
        <v>29</v>
      </c>
      <c r="C10" s="20" t="s">
        <v>30</v>
      </c>
      <c r="D10" s="58"/>
      <c r="E10" s="49">
        <v>8.5670000000000002</v>
      </c>
      <c r="F10" s="43">
        <v>6.3890000000000002</v>
      </c>
      <c r="G10" s="43">
        <v>4.734</v>
      </c>
      <c r="H10" s="43">
        <v>1.774</v>
      </c>
      <c r="I10" s="43">
        <v>0</v>
      </c>
      <c r="J10" s="43">
        <v>0</v>
      </c>
      <c r="K10" s="43">
        <v>0</v>
      </c>
      <c r="L10" s="43">
        <v>0</v>
      </c>
      <c r="M10" s="44">
        <v>0</v>
      </c>
      <c r="N10" s="43">
        <v>0</v>
      </c>
      <c r="O10" s="43">
        <v>0</v>
      </c>
      <c r="P10" s="104">
        <v>0</v>
      </c>
      <c r="Q10" s="102">
        <v>0</v>
      </c>
      <c r="R10" s="66"/>
      <c r="S10" s="67"/>
      <c r="T10" s="68"/>
      <c r="U10" s="69"/>
    </row>
    <row r="11" spans="1:21" ht="27.75" customHeight="1" x14ac:dyDescent="0.2">
      <c r="A11" s="54"/>
      <c r="B11" s="19" t="s">
        <v>31</v>
      </c>
      <c r="C11" s="20" t="s">
        <v>32</v>
      </c>
      <c r="D11" s="58"/>
      <c r="E11" s="49">
        <v>0</v>
      </c>
      <c r="F11" s="43">
        <v>5.5529999999999999</v>
      </c>
      <c r="G11" s="43">
        <v>1.3959999999999999</v>
      </c>
      <c r="H11" s="43">
        <v>0</v>
      </c>
      <c r="I11" s="43">
        <v>0</v>
      </c>
      <c r="J11" s="43">
        <v>0</v>
      </c>
      <c r="K11" s="43">
        <v>1.371</v>
      </c>
      <c r="L11" s="43">
        <v>0</v>
      </c>
      <c r="M11" s="44">
        <v>69.766999999999996</v>
      </c>
      <c r="N11" s="43">
        <v>0</v>
      </c>
      <c r="O11" s="43">
        <v>0</v>
      </c>
      <c r="P11" s="104">
        <v>0</v>
      </c>
      <c r="Q11" s="102">
        <v>0</v>
      </c>
      <c r="R11" s="66"/>
      <c r="S11" s="67"/>
      <c r="T11" s="68"/>
      <c r="U11" s="69"/>
    </row>
    <row r="12" spans="1:21" ht="27.75" customHeight="1" x14ac:dyDescent="0.2">
      <c r="A12" s="54"/>
      <c r="B12" s="19" t="s">
        <v>33</v>
      </c>
      <c r="C12" s="20" t="s">
        <v>34</v>
      </c>
      <c r="D12" s="58" t="s">
        <v>99</v>
      </c>
      <c r="E12" s="49">
        <v>10.987</v>
      </c>
      <c r="F12" s="43">
        <v>9.657</v>
      </c>
      <c r="G12" s="43">
        <v>6.0259999999999998</v>
      </c>
      <c r="H12" s="43">
        <v>0</v>
      </c>
      <c r="I12" s="43">
        <v>0</v>
      </c>
      <c r="J12" s="43">
        <v>0</v>
      </c>
      <c r="K12" s="43">
        <v>0</v>
      </c>
      <c r="L12" s="43">
        <v>0</v>
      </c>
      <c r="M12" s="44">
        <v>0</v>
      </c>
      <c r="N12" s="43">
        <v>0</v>
      </c>
      <c r="O12" s="43">
        <v>0</v>
      </c>
      <c r="P12" s="104">
        <v>0</v>
      </c>
      <c r="Q12" s="102">
        <v>0</v>
      </c>
      <c r="R12" s="66" t="s">
        <v>20</v>
      </c>
      <c r="S12" s="67" t="s">
        <v>35</v>
      </c>
      <c r="T12" s="68"/>
      <c r="U12" s="69"/>
    </row>
    <row r="13" spans="1:21" ht="27.75" customHeight="1" x14ac:dyDescent="0.2">
      <c r="A13" s="54"/>
      <c r="B13" s="19" t="s">
        <v>36</v>
      </c>
      <c r="C13" s="20" t="s">
        <v>37</v>
      </c>
      <c r="D13" s="58"/>
      <c r="E13" s="49">
        <v>21.03</v>
      </c>
      <c r="F13" s="43">
        <v>10.212</v>
      </c>
      <c r="G13" s="43">
        <v>7.6529999999999996</v>
      </c>
      <c r="H13" s="43">
        <v>0</v>
      </c>
      <c r="I13" s="43">
        <v>0</v>
      </c>
      <c r="J13" s="43">
        <v>0</v>
      </c>
      <c r="K13" s="43">
        <v>1.907</v>
      </c>
      <c r="L13" s="43">
        <v>0</v>
      </c>
      <c r="M13" s="44">
        <v>0</v>
      </c>
      <c r="N13" s="43">
        <v>0</v>
      </c>
      <c r="O13" s="43">
        <v>0</v>
      </c>
      <c r="P13" s="104">
        <v>0</v>
      </c>
      <c r="Q13" s="102">
        <v>0</v>
      </c>
      <c r="R13" s="66"/>
      <c r="S13" s="67"/>
      <c r="T13" s="68"/>
      <c r="U13" s="69"/>
    </row>
    <row r="14" spans="1:21" ht="27.75" customHeight="1" x14ac:dyDescent="0.2">
      <c r="A14" s="54"/>
      <c r="B14" s="19" t="s">
        <v>38</v>
      </c>
      <c r="C14" s="20" t="s">
        <v>39</v>
      </c>
      <c r="D14" s="58"/>
      <c r="E14" s="49">
        <v>22.387</v>
      </c>
      <c r="F14" s="43">
        <v>9.7189999999999994</v>
      </c>
      <c r="G14" s="43">
        <v>7.5259999999999998</v>
      </c>
      <c r="H14" s="43">
        <v>0</v>
      </c>
      <c r="I14" s="43">
        <v>0</v>
      </c>
      <c r="J14" s="43">
        <v>0</v>
      </c>
      <c r="K14" s="43">
        <v>1.7729999999999999</v>
      </c>
      <c r="L14" s="43">
        <v>0</v>
      </c>
      <c r="M14" s="44">
        <v>0</v>
      </c>
      <c r="N14" s="43">
        <v>0</v>
      </c>
      <c r="O14" s="43">
        <v>0</v>
      </c>
      <c r="P14" s="104">
        <v>0</v>
      </c>
      <c r="Q14" s="102">
        <v>0</v>
      </c>
      <c r="R14" s="66"/>
      <c r="S14" s="67"/>
      <c r="T14" s="68"/>
      <c r="U14" s="69"/>
    </row>
    <row r="15" spans="1:21" ht="27.75" customHeight="1" x14ac:dyDescent="0.2">
      <c r="A15" s="54"/>
      <c r="B15" s="19" t="s">
        <v>40</v>
      </c>
      <c r="C15" s="20" t="s">
        <v>41</v>
      </c>
      <c r="D15" s="58"/>
      <c r="E15" s="49">
        <v>0</v>
      </c>
      <c r="F15" s="43">
        <v>8.4039999999999999</v>
      </c>
      <c r="G15" s="43">
        <v>4.9240000000000004</v>
      </c>
      <c r="H15" s="43">
        <v>0</v>
      </c>
      <c r="I15" s="43">
        <v>0</v>
      </c>
      <c r="J15" s="43">
        <v>0</v>
      </c>
      <c r="K15" s="43">
        <v>1.9570000000000001</v>
      </c>
      <c r="L15" s="43">
        <v>0</v>
      </c>
      <c r="M15" s="44">
        <v>40.244999999999997</v>
      </c>
      <c r="N15" s="43">
        <v>0</v>
      </c>
      <c r="O15" s="43">
        <v>0</v>
      </c>
      <c r="P15" s="104">
        <v>0</v>
      </c>
      <c r="Q15" s="102">
        <v>0</v>
      </c>
      <c r="R15" s="66"/>
      <c r="S15" s="67"/>
      <c r="T15" s="68"/>
      <c r="U15" s="69"/>
    </row>
    <row r="16" spans="1:21" ht="27.75" customHeight="1" x14ac:dyDescent="0.2">
      <c r="A16" s="54"/>
      <c r="B16" s="19" t="s">
        <v>42</v>
      </c>
      <c r="C16" s="20" t="s">
        <v>43</v>
      </c>
      <c r="D16" s="58"/>
      <c r="E16" s="49">
        <v>0</v>
      </c>
      <c r="F16" s="43">
        <v>7.3170000000000002</v>
      </c>
      <c r="G16" s="43">
        <v>5.625</v>
      </c>
      <c r="H16" s="43">
        <v>0</v>
      </c>
      <c r="I16" s="43">
        <v>0</v>
      </c>
      <c r="J16" s="43">
        <v>0</v>
      </c>
      <c r="K16" s="43">
        <v>1.653</v>
      </c>
      <c r="L16" s="43">
        <v>0</v>
      </c>
      <c r="M16" s="44">
        <v>64.394000000000005</v>
      </c>
      <c r="N16" s="43">
        <v>0</v>
      </c>
      <c r="O16" s="43">
        <v>0</v>
      </c>
      <c r="P16" s="104">
        <v>0</v>
      </c>
      <c r="Q16" s="102">
        <v>0</v>
      </c>
      <c r="R16" s="66"/>
      <c r="S16" s="67"/>
      <c r="T16" s="68"/>
      <c r="U16" s="69"/>
    </row>
    <row r="17" spans="1:22" ht="27.75" customHeight="1" x14ac:dyDescent="0.2">
      <c r="A17" s="54"/>
      <c r="B17" s="19" t="s">
        <v>44</v>
      </c>
      <c r="C17" s="20" t="s">
        <v>45</v>
      </c>
      <c r="D17" s="58"/>
      <c r="E17" s="49">
        <v>12.657</v>
      </c>
      <c r="F17" s="43">
        <v>5.7960000000000003</v>
      </c>
      <c r="G17" s="43">
        <v>4.5730000000000004</v>
      </c>
      <c r="H17" s="43">
        <v>0</v>
      </c>
      <c r="I17" s="43">
        <v>0</v>
      </c>
      <c r="J17" s="43">
        <v>0</v>
      </c>
      <c r="K17" s="43">
        <v>0</v>
      </c>
      <c r="L17" s="43">
        <v>0</v>
      </c>
      <c r="M17" s="44">
        <v>0</v>
      </c>
      <c r="N17" s="43">
        <v>0</v>
      </c>
      <c r="O17" s="43">
        <v>0</v>
      </c>
      <c r="P17" s="104">
        <v>0</v>
      </c>
      <c r="Q17" s="102">
        <v>0</v>
      </c>
      <c r="R17" s="66"/>
      <c r="S17" s="67"/>
      <c r="T17" s="68"/>
      <c r="U17" s="69"/>
    </row>
    <row r="18" spans="1:22" ht="27.75" customHeight="1" x14ac:dyDescent="0.2">
      <c r="A18" s="54"/>
      <c r="B18" s="19" t="s">
        <v>46</v>
      </c>
      <c r="C18" s="20" t="s">
        <v>47</v>
      </c>
      <c r="D18" s="58"/>
      <c r="E18" s="49">
        <v>18.257999999999999</v>
      </c>
      <c r="F18" s="43">
        <v>9.0739999999999998</v>
      </c>
      <c r="G18" s="43">
        <v>7.2149999999999999</v>
      </c>
      <c r="H18" s="43">
        <v>0</v>
      </c>
      <c r="I18" s="43">
        <v>0</v>
      </c>
      <c r="J18" s="43">
        <v>0</v>
      </c>
      <c r="K18" s="43">
        <v>1.7270000000000001</v>
      </c>
      <c r="L18" s="43">
        <v>0</v>
      </c>
      <c r="M18" s="44">
        <v>0</v>
      </c>
      <c r="N18" s="43">
        <v>0</v>
      </c>
      <c r="O18" s="43">
        <v>0</v>
      </c>
      <c r="P18" s="104">
        <v>0</v>
      </c>
      <c r="Q18" s="102">
        <v>0</v>
      </c>
      <c r="R18" s="66"/>
      <c r="S18" s="67"/>
      <c r="T18" s="68"/>
      <c r="U18" s="69"/>
    </row>
    <row r="19" spans="1:22" ht="27.75" customHeight="1" x14ac:dyDescent="0.2">
      <c r="A19" s="54"/>
      <c r="B19" s="19" t="s">
        <v>48</v>
      </c>
      <c r="C19" s="20" t="s">
        <v>49</v>
      </c>
      <c r="D19" s="58"/>
      <c r="E19" s="49">
        <v>0</v>
      </c>
      <c r="F19" s="43">
        <v>1.3049999999999999</v>
      </c>
      <c r="G19" s="43">
        <v>1.1060000000000001</v>
      </c>
      <c r="H19" s="43">
        <v>0</v>
      </c>
      <c r="I19" s="43">
        <v>0</v>
      </c>
      <c r="J19" s="43">
        <v>0</v>
      </c>
      <c r="K19" s="43">
        <v>1.095</v>
      </c>
      <c r="L19" s="43">
        <v>13.172000000000001</v>
      </c>
      <c r="M19" s="44">
        <v>19.649999999999999</v>
      </c>
      <c r="N19" s="43">
        <v>0</v>
      </c>
      <c r="O19" s="43">
        <v>0</v>
      </c>
      <c r="P19" s="104">
        <v>0</v>
      </c>
      <c r="Q19" s="102">
        <v>0</v>
      </c>
      <c r="R19" s="66" t="s">
        <v>50</v>
      </c>
      <c r="S19" s="67" t="s">
        <v>51</v>
      </c>
      <c r="T19" s="68">
        <v>150</v>
      </c>
      <c r="U19" s="69"/>
    </row>
    <row r="20" spans="1:22" ht="27.75" customHeight="1" x14ac:dyDescent="0.2">
      <c r="A20" s="54"/>
      <c r="B20" s="19" t="s">
        <v>52</v>
      </c>
      <c r="C20" s="20" t="s">
        <v>53</v>
      </c>
      <c r="D20" s="59"/>
      <c r="E20" s="49">
        <v>0</v>
      </c>
      <c r="F20" s="43">
        <v>1.139</v>
      </c>
      <c r="G20" s="43">
        <v>0.94199999999999995</v>
      </c>
      <c r="H20" s="43">
        <v>0</v>
      </c>
      <c r="I20" s="43">
        <v>0</v>
      </c>
      <c r="J20" s="43">
        <v>0</v>
      </c>
      <c r="K20" s="43">
        <v>0.93600000000000005</v>
      </c>
      <c r="L20" s="43">
        <v>13.106999999999999</v>
      </c>
      <c r="M20" s="44">
        <v>30.917000000000002</v>
      </c>
      <c r="N20" s="43">
        <v>0</v>
      </c>
      <c r="O20" s="43">
        <v>0</v>
      </c>
      <c r="P20" s="104">
        <v>0</v>
      </c>
      <c r="Q20" s="102">
        <v>0</v>
      </c>
      <c r="R20" s="66"/>
      <c r="S20" s="67"/>
      <c r="T20" s="68">
        <v>150</v>
      </c>
      <c r="U20" s="69"/>
      <c r="V20" s="32"/>
    </row>
    <row r="21" spans="1:22" ht="27.75" customHeight="1" x14ac:dyDescent="0.2">
      <c r="A21" s="54"/>
      <c r="B21" s="19" t="s">
        <v>54</v>
      </c>
      <c r="C21" s="20" t="s">
        <v>55</v>
      </c>
      <c r="D21" s="58"/>
      <c r="E21" s="49">
        <v>0</v>
      </c>
      <c r="F21" s="43">
        <v>0.78600000000000003</v>
      </c>
      <c r="G21" s="43">
        <v>0.69399999999999995</v>
      </c>
      <c r="H21" s="43">
        <v>0</v>
      </c>
      <c r="I21" s="43">
        <v>0</v>
      </c>
      <c r="J21" s="43">
        <v>0</v>
      </c>
      <c r="K21" s="43">
        <v>0.68200000000000005</v>
      </c>
      <c r="L21" s="43">
        <v>8.0120000000000005</v>
      </c>
      <c r="M21" s="44">
        <v>11.003</v>
      </c>
      <c r="N21" s="43">
        <v>0</v>
      </c>
      <c r="O21" s="43">
        <v>0</v>
      </c>
      <c r="P21" s="104">
        <v>0</v>
      </c>
      <c r="Q21" s="102">
        <v>0</v>
      </c>
      <c r="R21" s="66" t="s">
        <v>50</v>
      </c>
      <c r="S21" s="67" t="s">
        <v>51</v>
      </c>
      <c r="T21" s="68">
        <v>1150</v>
      </c>
      <c r="U21" s="69"/>
    </row>
    <row r="22" spans="1:22" ht="27.75" customHeight="1" x14ac:dyDescent="0.2">
      <c r="A22" s="54"/>
      <c r="B22" s="19" t="s">
        <v>56</v>
      </c>
      <c r="C22" s="20" t="s">
        <v>57</v>
      </c>
      <c r="D22" s="59"/>
      <c r="E22" s="49">
        <v>0</v>
      </c>
      <c r="F22" s="43">
        <v>0.81399999999999995</v>
      </c>
      <c r="G22" s="43">
        <v>0.67300000000000004</v>
      </c>
      <c r="H22" s="43">
        <v>0</v>
      </c>
      <c r="I22" s="43">
        <v>0</v>
      </c>
      <c r="J22" s="43">
        <v>0</v>
      </c>
      <c r="K22" s="43">
        <v>0.66500000000000004</v>
      </c>
      <c r="L22" s="43">
        <v>9.2409999999999997</v>
      </c>
      <c r="M22" s="44">
        <v>22.376999999999999</v>
      </c>
      <c r="N22" s="43">
        <v>0</v>
      </c>
      <c r="O22" s="43">
        <v>0</v>
      </c>
      <c r="P22" s="104">
        <v>0</v>
      </c>
      <c r="Q22" s="102">
        <v>0</v>
      </c>
      <c r="R22" s="66"/>
      <c r="S22" s="67"/>
      <c r="T22" s="68">
        <v>1150</v>
      </c>
      <c r="U22" s="69"/>
      <c r="V22" s="32"/>
    </row>
    <row r="23" spans="1:22" ht="27.75" customHeight="1" x14ac:dyDescent="0.2">
      <c r="A23" s="54"/>
      <c r="B23" s="19" t="s">
        <v>58</v>
      </c>
      <c r="C23" s="20" t="s">
        <v>59</v>
      </c>
      <c r="D23" s="58"/>
      <c r="E23" s="49">
        <v>0</v>
      </c>
      <c r="F23" s="43">
        <v>0.44800000000000001</v>
      </c>
      <c r="G23" s="43">
        <v>0.34899999999999998</v>
      </c>
      <c r="H23" s="43">
        <v>0</v>
      </c>
      <c r="I23" s="43">
        <v>0</v>
      </c>
      <c r="J23" s="43">
        <v>0</v>
      </c>
      <c r="K23" s="43">
        <v>0.30199999999999999</v>
      </c>
      <c r="L23" s="43">
        <v>0.78400000000000003</v>
      </c>
      <c r="M23" s="44">
        <v>1.149</v>
      </c>
      <c r="N23" s="43">
        <v>0</v>
      </c>
      <c r="O23" s="43">
        <v>0</v>
      </c>
      <c r="P23" s="104">
        <v>0</v>
      </c>
      <c r="Q23" s="102">
        <v>0</v>
      </c>
      <c r="R23" s="66"/>
      <c r="S23" s="67"/>
      <c r="T23" s="68">
        <v>11100</v>
      </c>
      <c r="U23" s="69"/>
    </row>
    <row r="24" spans="1:22" ht="27.75" customHeight="1" x14ac:dyDescent="0.2">
      <c r="A24" s="54"/>
      <c r="B24" s="19" t="s">
        <v>60</v>
      </c>
      <c r="C24" s="20" t="s">
        <v>61</v>
      </c>
      <c r="D24" s="58" t="s">
        <v>99</v>
      </c>
      <c r="E24" s="49">
        <v>6.3280000000000003</v>
      </c>
      <c r="F24" s="43">
        <v>15.212</v>
      </c>
      <c r="G24" s="43">
        <v>8.9649999999999999</v>
      </c>
      <c r="H24" s="43">
        <v>0</v>
      </c>
      <c r="I24" s="43">
        <v>4.2869999999999999</v>
      </c>
      <c r="J24" s="43">
        <v>3.1579999999999999</v>
      </c>
      <c r="K24" s="43">
        <v>2.9329999999999998</v>
      </c>
      <c r="L24" s="43">
        <v>0</v>
      </c>
      <c r="M24" s="44">
        <v>0</v>
      </c>
      <c r="N24" s="43">
        <v>0</v>
      </c>
      <c r="O24" s="43">
        <v>0</v>
      </c>
      <c r="P24" s="104">
        <v>0</v>
      </c>
      <c r="Q24" s="102">
        <v>0</v>
      </c>
      <c r="R24" s="66" t="s">
        <v>20</v>
      </c>
      <c r="S24" s="67" t="s">
        <v>21</v>
      </c>
      <c r="T24" s="68"/>
      <c r="U24" s="69"/>
    </row>
    <row r="25" spans="1:22" ht="27.75" customHeight="1" x14ac:dyDescent="0.2">
      <c r="A25" s="54"/>
      <c r="B25" s="19" t="s">
        <v>62</v>
      </c>
      <c r="C25" s="20" t="s">
        <v>63</v>
      </c>
      <c r="D25" s="58" t="s">
        <v>99</v>
      </c>
      <c r="E25" s="49">
        <v>0</v>
      </c>
      <c r="F25" s="43">
        <v>9.0960000000000001</v>
      </c>
      <c r="G25" s="43">
        <v>5.5259999999999998</v>
      </c>
      <c r="H25" s="43">
        <v>0</v>
      </c>
      <c r="I25" s="43">
        <v>0</v>
      </c>
      <c r="J25" s="43">
        <v>0</v>
      </c>
      <c r="K25" s="43">
        <v>2.6680000000000001</v>
      </c>
      <c r="L25" s="43">
        <v>0</v>
      </c>
      <c r="M25" s="44">
        <v>39.500999999999998</v>
      </c>
      <c r="N25" s="43">
        <v>0</v>
      </c>
      <c r="O25" s="43">
        <v>0</v>
      </c>
      <c r="P25" s="104">
        <v>0</v>
      </c>
      <c r="Q25" s="102">
        <v>0</v>
      </c>
      <c r="R25" s="66" t="s">
        <v>20</v>
      </c>
      <c r="S25" s="67" t="s">
        <v>35</v>
      </c>
      <c r="T25" s="68"/>
      <c r="U25" s="69"/>
    </row>
    <row r="26" spans="1:22" ht="27.75" customHeight="1" x14ac:dyDescent="0.2">
      <c r="A26" s="54"/>
      <c r="B26" s="19" t="s">
        <v>64</v>
      </c>
      <c r="C26" s="20" t="s">
        <v>65</v>
      </c>
      <c r="D26" s="58" t="s">
        <v>99</v>
      </c>
      <c r="E26" s="49">
        <v>6.5640000000000001</v>
      </c>
      <c r="F26" s="43">
        <v>17.152000000000001</v>
      </c>
      <c r="G26" s="43">
        <v>10.659000000000001</v>
      </c>
      <c r="H26" s="43">
        <v>0</v>
      </c>
      <c r="I26" s="43">
        <v>5.3170000000000002</v>
      </c>
      <c r="J26" s="43">
        <v>4.2709999999999999</v>
      </c>
      <c r="K26" s="43">
        <v>4.0629999999999997</v>
      </c>
      <c r="L26" s="43">
        <v>0</v>
      </c>
      <c r="M26" s="44">
        <v>0</v>
      </c>
      <c r="N26" s="43">
        <v>0</v>
      </c>
      <c r="O26" s="43">
        <v>0</v>
      </c>
      <c r="P26" s="104">
        <v>0</v>
      </c>
      <c r="Q26" s="102">
        <v>0</v>
      </c>
      <c r="R26" s="66" t="s">
        <v>20</v>
      </c>
      <c r="S26" s="67" t="s">
        <v>21</v>
      </c>
      <c r="T26" s="68"/>
      <c r="U26" s="69"/>
    </row>
    <row r="27" spans="1:22" ht="27.75" customHeight="1" x14ac:dyDescent="0.2">
      <c r="A27" s="54"/>
      <c r="B27" s="21" t="s">
        <v>66</v>
      </c>
      <c r="C27" s="22" t="s">
        <v>67</v>
      </c>
      <c r="D27" s="60" t="s">
        <v>99</v>
      </c>
      <c r="E27" s="49">
        <v>7.069</v>
      </c>
      <c r="F27" s="43">
        <v>16.873999999999999</v>
      </c>
      <c r="G27" s="43">
        <v>9.6859999999999999</v>
      </c>
      <c r="H27" s="43">
        <v>0</v>
      </c>
      <c r="I27" s="43">
        <v>4.5819999999999999</v>
      </c>
      <c r="J27" s="43">
        <v>4.5819999999999999</v>
      </c>
      <c r="K27" s="43">
        <v>3.8849999999999998</v>
      </c>
      <c r="L27" s="43">
        <v>0</v>
      </c>
      <c r="M27" s="44">
        <v>0</v>
      </c>
      <c r="N27" s="43">
        <v>0</v>
      </c>
      <c r="O27" s="43">
        <v>0</v>
      </c>
      <c r="P27" s="104">
        <v>0</v>
      </c>
      <c r="Q27" s="102">
        <v>0</v>
      </c>
      <c r="R27" s="115" t="s">
        <v>68</v>
      </c>
      <c r="S27" s="116"/>
      <c r="T27" s="45"/>
      <c r="U27" s="46"/>
    </row>
    <row r="28" spans="1:22" ht="27.75" customHeight="1" x14ac:dyDescent="0.2">
      <c r="A28" s="54"/>
      <c r="B28" s="21" t="s">
        <v>102</v>
      </c>
      <c r="C28" s="22" t="s">
        <v>104</v>
      </c>
      <c r="D28" s="60" t="s">
        <v>99</v>
      </c>
      <c r="E28" s="49">
        <v>0</v>
      </c>
      <c r="F28" s="43">
        <v>2.6280000000000001</v>
      </c>
      <c r="G28" s="43">
        <v>2.6280000000000001</v>
      </c>
      <c r="H28" s="43">
        <v>2.6280000000000001</v>
      </c>
      <c r="I28" s="43">
        <v>2.6280000000000001</v>
      </c>
      <c r="J28" s="43">
        <v>2.6280000000000001</v>
      </c>
      <c r="K28" s="43">
        <v>2.6280000000000001</v>
      </c>
      <c r="L28" s="43">
        <v>0</v>
      </c>
      <c r="M28" s="44">
        <v>0</v>
      </c>
      <c r="N28" s="43">
        <v>25.32</v>
      </c>
      <c r="O28" s="43">
        <v>9.9920000000000009</v>
      </c>
      <c r="P28" s="104">
        <v>0</v>
      </c>
      <c r="Q28" s="102">
        <v>0</v>
      </c>
      <c r="R28" s="66" t="s">
        <v>20</v>
      </c>
      <c r="S28" s="67" t="s">
        <v>21</v>
      </c>
      <c r="T28" s="45"/>
      <c r="U28" s="73">
        <v>1.5</v>
      </c>
      <c r="V28" s="32"/>
    </row>
    <row r="29" spans="1:22" ht="27.75" customHeight="1" x14ac:dyDescent="0.2">
      <c r="A29" s="54"/>
      <c r="B29" s="21" t="s">
        <v>103</v>
      </c>
      <c r="C29" s="22" t="s">
        <v>106</v>
      </c>
      <c r="D29" s="60" t="s">
        <v>99</v>
      </c>
      <c r="E29" s="49">
        <v>0</v>
      </c>
      <c r="F29" s="43">
        <v>3.476</v>
      </c>
      <c r="G29" s="43">
        <v>3.476</v>
      </c>
      <c r="H29" s="43">
        <v>3.476</v>
      </c>
      <c r="I29" s="43">
        <v>3.476</v>
      </c>
      <c r="J29" s="43">
        <v>3.476</v>
      </c>
      <c r="K29" s="43">
        <v>3.476</v>
      </c>
      <c r="L29" s="43">
        <v>0</v>
      </c>
      <c r="M29" s="44">
        <v>0</v>
      </c>
      <c r="N29" s="43">
        <v>28.751999999999999</v>
      </c>
      <c r="O29" s="43">
        <v>19.167999999999999</v>
      </c>
      <c r="P29" s="104">
        <v>0</v>
      </c>
      <c r="Q29" s="102">
        <v>0</v>
      </c>
      <c r="R29" s="66" t="s">
        <v>20</v>
      </c>
      <c r="S29" s="67" t="s">
        <v>35</v>
      </c>
      <c r="T29" s="45"/>
      <c r="U29" s="73">
        <v>1.5</v>
      </c>
      <c r="V29" s="32"/>
    </row>
    <row r="30" spans="1:22" ht="27.75" customHeight="1" thickBot="1" x14ac:dyDescent="0.25">
      <c r="A30" s="54"/>
      <c r="B30" s="37" t="s">
        <v>105</v>
      </c>
      <c r="C30" s="36" t="s">
        <v>107</v>
      </c>
      <c r="D30" s="60" t="s">
        <v>99</v>
      </c>
      <c r="E30" s="49">
        <v>0</v>
      </c>
      <c r="F30" s="43">
        <v>5.3339999999999996</v>
      </c>
      <c r="G30" s="43">
        <v>5.3339999999999996</v>
      </c>
      <c r="H30" s="43">
        <v>5.3339999999999996</v>
      </c>
      <c r="I30" s="43">
        <v>5.3339999999999996</v>
      </c>
      <c r="J30" s="43">
        <v>5.3339999999999996</v>
      </c>
      <c r="K30" s="43">
        <v>5.3339999999999996</v>
      </c>
      <c r="L30" s="43">
        <v>0</v>
      </c>
      <c r="M30" s="44">
        <v>0</v>
      </c>
      <c r="N30" s="43">
        <v>17.873000000000001</v>
      </c>
      <c r="O30" s="43">
        <v>11.914999999999999</v>
      </c>
      <c r="P30" s="104">
        <v>0</v>
      </c>
      <c r="Q30" s="102">
        <v>0</v>
      </c>
      <c r="R30" s="66" t="s">
        <v>20</v>
      </c>
      <c r="S30" s="67" t="s">
        <v>98</v>
      </c>
      <c r="T30" s="68"/>
      <c r="U30" s="73">
        <v>1.5</v>
      </c>
    </row>
    <row r="31" spans="1:22" ht="15" customHeight="1" thickBot="1" x14ac:dyDescent="0.25">
      <c r="B31" s="18"/>
      <c r="C31" s="23"/>
      <c r="D31" s="6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74"/>
      <c r="S31" s="74"/>
      <c r="T31" s="74"/>
      <c r="U31" s="75"/>
    </row>
    <row r="32" spans="1:22" ht="15" customHeight="1" x14ac:dyDescent="0.2">
      <c r="B32" s="18"/>
      <c r="C32" s="23"/>
      <c r="D32" s="23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3"/>
      <c r="S32" s="23"/>
      <c r="T32" s="23"/>
      <c r="U32" s="25"/>
    </row>
    <row r="33" spans="1:21" ht="16.149999999999999" customHeight="1" x14ac:dyDescent="0.2">
      <c r="B33" s="38" t="s">
        <v>69</v>
      </c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7"/>
    </row>
    <row r="34" spans="1:21" ht="16.149999999999999" customHeight="1" x14ac:dyDescent="0.2">
      <c r="B34" s="38" t="s">
        <v>70</v>
      </c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7"/>
    </row>
    <row r="35" spans="1:21" ht="16.149999999999999" customHeight="1" x14ac:dyDescent="0.2">
      <c r="B35" s="39" t="s">
        <v>71</v>
      </c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7"/>
    </row>
    <row r="36" spans="1:21" ht="16.149999999999999" customHeight="1" x14ac:dyDescent="0.2">
      <c r="B36" s="39" t="s">
        <v>72</v>
      </c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7"/>
    </row>
    <row r="37" spans="1:21" ht="16.149999999999999" customHeight="1" x14ac:dyDescent="0.2">
      <c r="B37" s="38" t="s">
        <v>73</v>
      </c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7"/>
    </row>
    <row r="38" spans="1:21" ht="16.149999999999999" customHeight="1" x14ac:dyDescent="0.2">
      <c r="B38" s="55" t="s">
        <v>100</v>
      </c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7"/>
    </row>
    <row r="39" spans="1:21" ht="16.149999999999999" customHeight="1" x14ac:dyDescent="0.2">
      <c r="B39" s="56" t="s">
        <v>111</v>
      </c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7"/>
    </row>
    <row r="40" spans="1:21" ht="16.149999999999999" customHeight="1" x14ac:dyDescent="0.2">
      <c r="B40" s="56" t="s">
        <v>113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7"/>
    </row>
    <row r="41" spans="1:21" ht="15" customHeight="1" thickBot="1" x14ac:dyDescent="0.25">
      <c r="B41" s="28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30"/>
    </row>
    <row r="42" spans="1:21" x14ac:dyDescent="0.2"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31"/>
      <c r="O42" s="31"/>
      <c r="P42" s="26"/>
      <c r="Q42" s="26"/>
      <c r="R42" s="26"/>
      <c r="S42" s="26"/>
      <c r="T42" s="26"/>
      <c r="U42" s="26"/>
    </row>
    <row r="43" spans="1:21" x14ac:dyDescent="0.2"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</row>
    <row r="44" spans="1:21" x14ac:dyDescent="0.2">
      <c r="A44"/>
    </row>
    <row r="45" spans="1:21" x14ac:dyDescent="0.2">
      <c r="A45"/>
    </row>
    <row r="46" spans="1:21" x14ac:dyDescent="0.2">
      <c r="A46"/>
    </row>
    <row r="47" spans="1:21" x14ac:dyDescent="0.2">
      <c r="A47"/>
    </row>
    <row r="48" spans="1:21" x14ac:dyDescent="0.2">
      <c r="A48"/>
    </row>
    <row r="49" spans="1:1" x14ac:dyDescent="0.2">
      <c r="A49"/>
    </row>
    <row r="50" spans="1:1" x14ac:dyDescent="0.2">
      <c r="A50"/>
    </row>
    <row r="51" spans="1:1" x14ac:dyDescent="0.2">
      <c r="A51"/>
    </row>
    <row r="52" spans="1:1" x14ac:dyDescent="0.2">
      <c r="A52"/>
    </row>
    <row r="53" spans="1:1" x14ac:dyDescent="0.2">
      <c r="A53"/>
    </row>
    <row r="54" spans="1:1" x14ac:dyDescent="0.2">
      <c r="A54"/>
    </row>
    <row r="55" spans="1:1" x14ac:dyDescent="0.2">
      <c r="A55"/>
    </row>
    <row r="56" spans="1:1" x14ac:dyDescent="0.2">
      <c r="A56"/>
    </row>
    <row r="57" spans="1:1" x14ac:dyDescent="0.2">
      <c r="A57"/>
    </row>
    <row r="58" spans="1:1" x14ac:dyDescent="0.2">
      <c r="A58"/>
    </row>
    <row r="59" spans="1:1" x14ac:dyDescent="0.2">
      <c r="A59"/>
    </row>
    <row r="60" spans="1:1" x14ac:dyDescent="0.2">
      <c r="A60"/>
    </row>
    <row r="61" spans="1:1" x14ac:dyDescent="0.2">
      <c r="A61"/>
    </row>
    <row r="62" spans="1:1" x14ac:dyDescent="0.2">
      <c r="A62"/>
    </row>
    <row r="63" spans="1:1" x14ac:dyDescent="0.2">
      <c r="A63"/>
    </row>
    <row r="64" spans="1:1" x14ac:dyDescent="0.2">
      <c r="A64"/>
    </row>
    <row r="65" spans="1:1" x14ac:dyDescent="0.2">
      <c r="A65"/>
    </row>
    <row r="66" spans="1:1" x14ac:dyDescent="0.2">
      <c r="A66"/>
    </row>
    <row r="67" spans="1:1" x14ac:dyDescent="0.2">
      <c r="A67"/>
    </row>
    <row r="68" spans="1:1" x14ac:dyDescent="0.2">
      <c r="A68"/>
    </row>
    <row r="69" spans="1:1" x14ac:dyDescent="0.2">
      <c r="A69"/>
    </row>
    <row r="70" spans="1:1" x14ac:dyDescent="0.2">
      <c r="A70"/>
    </row>
    <row r="71" spans="1:1" x14ac:dyDescent="0.2">
      <c r="A71"/>
    </row>
    <row r="72" spans="1:1" x14ac:dyDescent="0.2">
      <c r="A72"/>
    </row>
    <row r="73" spans="1:1" x14ac:dyDescent="0.2">
      <c r="A73"/>
    </row>
    <row r="74" spans="1:1" x14ac:dyDescent="0.2">
      <c r="A74"/>
    </row>
    <row r="75" spans="1:1" x14ac:dyDescent="0.2">
      <c r="A75"/>
    </row>
    <row r="76" spans="1:1" x14ac:dyDescent="0.2">
      <c r="A76"/>
    </row>
    <row r="77" spans="1:1" x14ac:dyDescent="0.2">
      <c r="A77"/>
    </row>
    <row r="78" spans="1:1" x14ac:dyDescent="0.2">
      <c r="A78"/>
    </row>
    <row r="79" spans="1:1" x14ac:dyDescent="0.2">
      <c r="A79"/>
    </row>
    <row r="80" spans="1:1" x14ac:dyDescent="0.2">
      <c r="A80"/>
    </row>
    <row r="81" spans="1:1" x14ac:dyDescent="0.2">
      <c r="A81"/>
    </row>
    <row r="82" spans="1:1" x14ac:dyDescent="0.2">
      <c r="A82"/>
    </row>
    <row r="83" spans="1:1" x14ac:dyDescent="0.2">
      <c r="A83"/>
    </row>
    <row r="84" spans="1:1" x14ac:dyDescent="0.2">
      <c r="A84"/>
    </row>
    <row r="85" spans="1:1" x14ac:dyDescent="0.2">
      <c r="A85"/>
    </row>
    <row r="86" spans="1:1" x14ac:dyDescent="0.2">
      <c r="A86"/>
    </row>
    <row r="87" spans="1:1" x14ac:dyDescent="0.2">
      <c r="A87"/>
    </row>
    <row r="88" spans="1:1" x14ac:dyDescent="0.2">
      <c r="A88"/>
    </row>
    <row r="89" spans="1:1" x14ac:dyDescent="0.2">
      <c r="A89"/>
    </row>
    <row r="90" spans="1:1" x14ac:dyDescent="0.2">
      <c r="A90"/>
    </row>
    <row r="91" spans="1:1" x14ac:dyDescent="0.2">
      <c r="A91"/>
    </row>
    <row r="92" spans="1:1" x14ac:dyDescent="0.2">
      <c r="A92"/>
    </row>
    <row r="93" spans="1:1" x14ac:dyDescent="0.2">
      <c r="A93"/>
    </row>
    <row r="94" spans="1:1" x14ac:dyDescent="0.2">
      <c r="A94"/>
    </row>
    <row r="95" spans="1:1" x14ac:dyDescent="0.2">
      <c r="A95"/>
    </row>
  </sheetData>
  <mergeCells count="4">
    <mergeCell ref="B2:T2"/>
    <mergeCell ref="E4:Q4"/>
    <mergeCell ref="R4:S4"/>
    <mergeCell ref="R27:S27"/>
  </mergeCells>
  <pageMargins left="0.74803149606299213" right="0.74803149606299213" top="0.39370078740157483" bottom="0.11811023622047245" header="0.11811023622047245" footer="0.11811023622047245"/>
  <pageSetup paperSize="9" scale="45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V95"/>
  <sheetViews>
    <sheetView showGridLines="0" showZeros="0" zoomScale="60" zoomScaleNormal="60" workbookViewId="0"/>
  </sheetViews>
  <sheetFormatPr defaultRowHeight="12.75" x14ac:dyDescent="0.2"/>
  <cols>
    <col min="1" max="1" width="4.7109375" style="52" customWidth="1"/>
    <col min="2" max="2" width="27.7109375" customWidth="1"/>
    <col min="3" max="3" width="21.85546875" customWidth="1"/>
    <col min="4" max="4" width="10.42578125" customWidth="1"/>
    <col min="5" max="6" width="11.140625" customWidth="1"/>
    <col min="7" max="7" width="13.5703125" customWidth="1"/>
    <col min="8" max="11" width="11.140625" customWidth="1"/>
    <col min="12" max="13" width="13.28515625" customWidth="1"/>
    <col min="14" max="17" width="12.28515625" customWidth="1"/>
    <col min="18" max="19" width="11.7109375" customWidth="1"/>
    <col min="20" max="21" width="14.28515625" customWidth="1"/>
    <col min="22" max="22" width="9.5703125" customWidth="1"/>
  </cols>
  <sheetData>
    <row r="1" spans="1:21" ht="12.75" customHeight="1" thickBot="1" x14ac:dyDescent="0.25"/>
    <row r="2" spans="1:21" s="2" customFormat="1" ht="18" x14ac:dyDescent="0.25">
      <c r="A2" s="53"/>
      <c r="B2" s="108" t="s">
        <v>88</v>
      </c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"/>
    </row>
    <row r="3" spans="1:21" s="2" customFormat="1" ht="18.75" thickBot="1" x14ac:dyDescent="0.3">
      <c r="A3" s="53"/>
      <c r="B3" s="33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5"/>
    </row>
    <row r="4" spans="1:21" s="6" customFormat="1" ht="63" customHeight="1" thickBot="1" x14ac:dyDescent="0.25">
      <c r="B4" s="3"/>
      <c r="C4" s="4"/>
      <c r="D4" s="4"/>
      <c r="E4" s="110" t="s">
        <v>0</v>
      </c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2"/>
      <c r="R4" s="113" t="s">
        <v>1</v>
      </c>
      <c r="S4" s="114"/>
      <c r="T4" s="5" t="s">
        <v>2</v>
      </c>
      <c r="U4" s="5" t="s">
        <v>3</v>
      </c>
    </row>
    <row r="5" spans="1:21" s="6" customFormat="1" ht="99" customHeight="1" thickBot="1" x14ac:dyDescent="0.25">
      <c r="B5" s="7" t="s">
        <v>4</v>
      </c>
      <c r="C5" s="8" t="s">
        <v>5</v>
      </c>
      <c r="D5" s="9" t="s">
        <v>6</v>
      </c>
      <c r="E5" s="10" t="s">
        <v>7</v>
      </c>
      <c r="F5" s="11" t="s">
        <v>8</v>
      </c>
      <c r="G5" s="11" t="s">
        <v>9</v>
      </c>
      <c r="H5" s="11" t="s">
        <v>10</v>
      </c>
      <c r="I5" s="11" t="s">
        <v>11</v>
      </c>
      <c r="J5" s="11" t="s">
        <v>12</v>
      </c>
      <c r="K5" s="11" t="s">
        <v>13</v>
      </c>
      <c r="L5" s="11" t="s">
        <v>14</v>
      </c>
      <c r="M5" s="12" t="s">
        <v>15</v>
      </c>
      <c r="N5" s="12" t="s">
        <v>77</v>
      </c>
      <c r="O5" s="12" t="s">
        <v>76</v>
      </c>
      <c r="P5" s="12" t="s">
        <v>74</v>
      </c>
      <c r="Q5" s="12" t="s">
        <v>75</v>
      </c>
      <c r="R5" s="13" t="s">
        <v>16</v>
      </c>
      <c r="S5" s="14" t="s">
        <v>17</v>
      </c>
      <c r="T5" s="15" t="s">
        <v>16</v>
      </c>
      <c r="U5" s="16" t="s">
        <v>78</v>
      </c>
    </row>
    <row r="6" spans="1:21" ht="27.75" customHeight="1" x14ac:dyDescent="0.2">
      <c r="A6" s="54"/>
      <c r="B6" s="17" t="s">
        <v>18</v>
      </c>
      <c r="C6" s="18" t="s">
        <v>19</v>
      </c>
      <c r="D6" s="57" t="s">
        <v>99</v>
      </c>
      <c r="E6" s="47">
        <v>0</v>
      </c>
      <c r="F6" s="48">
        <v>2.0699999999999998</v>
      </c>
      <c r="G6" s="48">
        <v>1.73</v>
      </c>
      <c r="H6" s="48">
        <v>0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50">
        <v>0</v>
      </c>
      <c r="Q6" s="50">
        <v>0</v>
      </c>
      <c r="R6" s="62" t="s">
        <v>20</v>
      </c>
      <c r="S6" s="63" t="s">
        <v>21</v>
      </c>
      <c r="T6" s="64"/>
      <c r="U6" s="65"/>
    </row>
    <row r="7" spans="1:21" ht="27.75" customHeight="1" x14ac:dyDescent="0.2">
      <c r="A7" s="54"/>
      <c r="B7" s="19" t="s">
        <v>22</v>
      </c>
      <c r="C7" s="20" t="s">
        <v>23</v>
      </c>
      <c r="D7" s="58"/>
      <c r="E7" s="49">
        <v>0</v>
      </c>
      <c r="F7" s="43">
        <v>3.476</v>
      </c>
      <c r="G7" s="43">
        <v>2.782</v>
      </c>
      <c r="H7" s="43">
        <v>0</v>
      </c>
      <c r="I7" s="43">
        <v>0</v>
      </c>
      <c r="J7" s="43">
        <v>0</v>
      </c>
      <c r="K7" s="43">
        <v>0</v>
      </c>
      <c r="L7" s="43">
        <v>0</v>
      </c>
      <c r="M7" s="44">
        <v>0</v>
      </c>
      <c r="N7" s="43">
        <v>0</v>
      </c>
      <c r="O7" s="43">
        <v>0</v>
      </c>
      <c r="P7" s="44">
        <v>0</v>
      </c>
      <c r="Q7" s="43">
        <v>0</v>
      </c>
      <c r="R7" s="66"/>
      <c r="S7" s="67"/>
      <c r="T7" s="68"/>
      <c r="U7" s="69"/>
    </row>
    <row r="8" spans="1:21" ht="27.75" customHeight="1" x14ac:dyDescent="0.2">
      <c r="A8" s="54"/>
      <c r="B8" s="19" t="s">
        <v>24</v>
      </c>
      <c r="C8" s="20" t="s">
        <v>25</v>
      </c>
      <c r="D8" s="58"/>
      <c r="E8" s="49">
        <v>0</v>
      </c>
      <c r="F8" s="43">
        <v>0</v>
      </c>
      <c r="G8" s="43">
        <v>0</v>
      </c>
      <c r="H8" s="43">
        <v>0</v>
      </c>
      <c r="I8" s="43">
        <v>0</v>
      </c>
      <c r="J8" s="43">
        <v>0</v>
      </c>
      <c r="K8" s="43">
        <v>0</v>
      </c>
      <c r="L8" s="43">
        <v>0</v>
      </c>
      <c r="M8" s="44">
        <v>0</v>
      </c>
      <c r="N8" s="43">
        <v>0</v>
      </c>
      <c r="O8" s="43">
        <v>0</v>
      </c>
      <c r="P8" s="44">
        <v>0</v>
      </c>
      <c r="Q8" s="43">
        <v>0</v>
      </c>
      <c r="R8" s="66" t="s">
        <v>20</v>
      </c>
      <c r="S8" s="70" t="s">
        <v>26</v>
      </c>
      <c r="T8" s="71"/>
      <c r="U8" s="72"/>
    </row>
    <row r="9" spans="1:21" ht="27.75" customHeight="1" x14ac:dyDescent="0.2">
      <c r="A9" s="54"/>
      <c r="B9" s="19" t="s">
        <v>27</v>
      </c>
      <c r="C9" s="20" t="s">
        <v>28</v>
      </c>
      <c r="D9" s="58"/>
      <c r="E9" s="49">
        <v>0</v>
      </c>
      <c r="F9" s="43">
        <v>3.2570000000000001</v>
      </c>
      <c r="G9" s="43">
        <v>2.6030000000000002</v>
      </c>
      <c r="H9" s="43">
        <v>0</v>
      </c>
      <c r="I9" s="43">
        <v>0</v>
      </c>
      <c r="J9" s="43">
        <v>0</v>
      </c>
      <c r="K9" s="43">
        <v>0</v>
      </c>
      <c r="L9" s="43">
        <v>0</v>
      </c>
      <c r="M9" s="44">
        <v>0</v>
      </c>
      <c r="N9" s="43">
        <v>0</v>
      </c>
      <c r="O9" s="43">
        <v>0</v>
      </c>
      <c r="P9" s="44">
        <v>0</v>
      </c>
      <c r="Q9" s="43">
        <v>0</v>
      </c>
      <c r="R9" s="66"/>
      <c r="S9" s="67"/>
      <c r="T9" s="71"/>
      <c r="U9" s="72"/>
    </row>
    <row r="10" spans="1:21" ht="27.75" customHeight="1" x14ac:dyDescent="0.2">
      <c r="A10" s="54"/>
      <c r="B10" s="19" t="s">
        <v>29</v>
      </c>
      <c r="C10" s="20" t="s">
        <v>30</v>
      </c>
      <c r="D10" s="58"/>
      <c r="E10" s="49">
        <v>0</v>
      </c>
      <c r="F10" s="43">
        <v>2.3159999999999998</v>
      </c>
      <c r="G10" s="43">
        <v>1.853</v>
      </c>
      <c r="H10" s="43">
        <v>1.853</v>
      </c>
      <c r="I10" s="43">
        <v>0</v>
      </c>
      <c r="J10" s="43">
        <v>0</v>
      </c>
      <c r="K10" s="43">
        <v>0</v>
      </c>
      <c r="L10" s="43">
        <v>0</v>
      </c>
      <c r="M10" s="44">
        <v>0</v>
      </c>
      <c r="N10" s="43">
        <v>0</v>
      </c>
      <c r="O10" s="43">
        <v>0</v>
      </c>
      <c r="P10" s="44">
        <v>0</v>
      </c>
      <c r="Q10" s="43">
        <v>0</v>
      </c>
      <c r="R10" s="66"/>
      <c r="S10" s="67"/>
      <c r="T10" s="68"/>
      <c r="U10" s="69"/>
    </row>
    <row r="11" spans="1:21" ht="27.75" customHeight="1" x14ac:dyDescent="0.2">
      <c r="A11" s="54"/>
      <c r="B11" s="19" t="s">
        <v>31</v>
      </c>
      <c r="C11" s="20" t="s">
        <v>32</v>
      </c>
      <c r="D11" s="58"/>
      <c r="E11" s="49">
        <v>0</v>
      </c>
      <c r="F11" s="43">
        <v>15.694000000000001</v>
      </c>
      <c r="G11" s="43">
        <v>3.4950000000000001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4">
        <v>9.952</v>
      </c>
      <c r="N11" s="43">
        <v>0</v>
      </c>
      <c r="O11" s="43">
        <v>0</v>
      </c>
      <c r="P11" s="44">
        <v>0</v>
      </c>
      <c r="Q11" s="43">
        <v>0</v>
      </c>
      <c r="R11" s="66"/>
      <c r="S11" s="67"/>
      <c r="T11" s="68"/>
      <c r="U11" s="69"/>
    </row>
    <row r="12" spans="1:21" ht="27.75" customHeight="1" x14ac:dyDescent="0.2">
      <c r="A12" s="54"/>
      <c r="B12" s="19" t="s">
        <v>33</v>
      </c>
      <c r="C12" s="20" t="s">
        <v>34</v>
      </c>
      <c r="D12" s="58" t="s">
        <v>99</v>
      </c>
      <c r="E12" s="49">
        <v>0</v>
      </c>
      <c r="F12" s="43">
        <v>2.4319999999999999</v>
      </c>
      <c r="G12" s="43">
        <v>1.9419999999999999</v>
      </c>
      <c r="H12" s="43">
        <v>0</v>
      </c>
      <c r="I12" s="43">
        <v>0</v>
      </c>
      <c r="J12" s="43">
        <v>0</v>
      </c>
      <c r="K12" s="43">
        <v>0</v>
      </c>
      <c r="L12" s="43">
        <v>0</v>
      </c>
      <c r="M12" s="44">
        <v>0</v>
      </c>
      <c r="N12" s="43">
        <v>0</v>
      </c>
      <c r="O12" s="43">
        <v>0</v>
      </c>
      <c r="P12" s="44">
        <v>0</v>
      </c>
      <c r="Q12" s="43">
        <v>0</v>
      </c>
      <c r="R12" s="66" t="s">
        <v>20</v>
      </c>
      <c r="S12" s="67" t="s">
        <v>35</v>
      </c>
      <c r="T12" s="68"/>
      <c r="U12" s="69"/>
    </row>
    <row r="13" spans="1:21" ht="27.75" customHeight="1" x14ac:dyDescent="0.2">
      <c r="A13" s="54"/>
      <c r="B13" s="19" t="s">
        <v>36</v>
      </c>
      <c r="C13" s="20" t="s">
        <v>37</v>
      </c>
      <c r="D13" s="58"/>
      <c r="E13" s="49">
        <v>0</v>
      </c>
      <c r="F13" s="43">
        <v>2.1059999999999999</v>
      </c>
      <c r="G13" s="43">
        <v>1.6839999999999999</v>
      </c>
      <c r="H13" s="43">
        <v>0</v>
      </c>
      <c r="I13" s="43">
        <v>0</v>
      </c>
      <c r="J13" s="43">
        <v>0</v>
      </c>
      <c r="K13" s="43">
        <v>0</v>
      </c>
      <c r="L13" s="43">
        <v>0</v>
      </c>
      <c r="M13" s="44">
        <v>0</v>
      </c>
      <c r="N13" s="43">
        <v>0</v>
      </c>
      <c r="O13" s="43">
        <v>0</v>
      </c>
      <c r="P13" s="44">
        <v>0</v>
      </c>
      <c r="Q13" s="43">
        <v>0</v>
      </c>
      <c r="R13" s="66"/>
      <c r="S13" s="67"/>
      <c r="T13" s="68"/>
      <c r="U13" s="69"/>
    </row>
    <row r="14" spans="1:21" ht="27.75" customHeight="1" x14ac:dyDescent="0.2">
      <c r="A14" s="54"/>
      <c r="B14" s="19" t="s">
        <v>38</v>
      </c>
      <c r="C14" s="20" t="s">
        <v>39</v>
      </c>
      <c r="D14" s="58"/>
      <c r="E14" s="49">
        <v>0</v>
      </c>
      <c r="F14" s="43">
        <v>2.5070000000000001</v>
      </c>
      <c r="G14" s="43">
        <v>2.0070000000000001</v>
      </c>
      <c r="H14" s="43">
        <v>0</v>
      </c>
      <c r="I14" s="43">
        <v>0</v>
      </c>
      <c r="J14" s="43">
        <v>0</v>
      </c>
      <c r="K14" s="43">
        <v>0</v>
      </c>
      <c r="L14" s="43">
        <v>0</v>
      </c>
      <c r="M14" s="44">
        <v>0</v>
      </c>
      <c r="N14" s="43">
        <v>0</v>
      </c>
      <c r="O14" s="43">
        <v>0</v>
      </c>
      <c r="P14" s="44">
        <v>0</v>
      </c>
      <c r="Q14" s="43">
        <v>0</v>
      </c>
      <c r="R14" s="66"/>
      <c r="S14" s="67"/>
      <c r="T14" s="68"/>
      <c r="U14" s="69"/>
    </row>
    <row r="15" spans="1:21" ht="27.75" customHeight="1" x14ac:dyDescent="0.2">
      <c r="A15" s="54"/>
      <c r="B15" s="19" t="s">
        <v>40</v>
      </c>
      <c r="C15" s="20" t="s">
        <v>41</v>
      </c>
      <c r="D15" s="58"/>
      <c r="E15" s="49">
        <v>0</v>
      </c>
      <c r="F15" s="43">
        <v>1.9510000000000001</v>
      </c>
      <c r="G15" s="43">
        <v>1.56</v>
      </c>
      <c r="H15" s="43">
        <v>0</v>
      </c>
      <c r="I15" s="43">
        <v>0</v>
      </c>
      <c r="J15" s="43">
        <v>0</v>
      </c>
      <c r="K15" s="43">
        <v>0</v>
      </c>
      <c r="L15" s="43">
        <v>0</v>
      </c>
      <c r="M15" s="44">
        <v>9.1</v>
      </c>
      <c r="N15" s="43">
        <v>0</v>
      </c>
      <c r="O15" s="43">
        <v>0</v>
      </c>
      <c r="P15" s="44">
        <v>0</v>
      </c>
      <c r="Q15" s="43">
        <v>0</v>
      </c>
      <c r="R15" s="66"/>
      <c r="S15" s="67"/>
      <c r="T15" s="68"/>
      <c r="U15" s="69"/>
    </row>
    <row r="16" spans="1:21" ht="27.75" customHeight="1" x14ac:dyDescent="0.2">
      <c r="A16" s="54"/>
      <c r="B16" s="19" t="s">
        <v>42</v>
      </c>
      <c r="C16" s="20" t="s">
        <v>43</v>
      </c>
      <c r="D16" s="58"/>
      <c r="E16" s="49">
        <v>0</v>
      </c>
      <c r="F16" s="43">
        <v>1.0669999999999999</v>
      </c>
      <c r="G16" s="43">
        <v>0.85299999999999998</v>
      </c>
      <c r="H16" s="43">
        <v>0</v>
      </c>
      <c r="I16" s="43">
        <v>0</v>
      </c>
      <c r="J16" s="43">
        <v>0</v>
      </c>
      <c r="K16" s="43">
        <v>0</v>
      </c>
      <c r="L16" s="43">
        <v>0</v>
      </c>
      <c r="M16" s="44">
        <v>9.5630000000000006</v>
      </c>
      <c r="N16" s="43">
        <v>0</v>
      </c>
      <c r="O16" s="43">
        <v>0</v>
      </c>
      <c r="P16" s="44">
        <v>0</v>
      </c>
      <c r="Q16" s="43">
        <v>0</v>
      </c>
      <c r="R16" s="66"/>
      <c r="S16" s="67"/>
      <c r="T16" s="68"/>
      <c r="U16" s="69"/>
    </row>
    <row r="17" spans="1:22" ht="27.75" customHeight="1" x14ac:dyDescent="0.2">
      <c r="A17" s="54"/>
      <c r="B17" s="19" t="s">
        <v>44</v>
      </c>
      <c r="C17" s="20" t="s">
        <v>45</v>
      </c>
      <c r="D17" s="58"/>
      <c r="E17" s="49">
        <v>0</v>
      </c>
      <c r="F17" s="43">
        <v>2.4249999999999998</v>
      </c>
      <c r="G17" s="43">
        <v>1.9379999999999999</v>
      </c>
      <c r="H17" s="43">
        <v>0</v>
      </c>
      <c r="I17" s="43">
        <v>0</v>
      </c>
      <c r="J17" s="43">
        <v>0</v>
      </c>
      <c r="K17" s="43">
        <v>0</v>
      </c>
      <c r="L17" s="43">
        <v>0</v>
      </c>
      <c r="M17" s="44">
        <v>0</v>
      </c>
      <c r="N17" s="43">
        <v>0</v>
      </c>
      <c r="O17" s="43">
        <v>0</v>
      </c>
      <c r="P17" s="44">
        <v>0</v>
      </c>
      <c r="Q17" s="43">
        <v>0</v>
      </c>
      <c r="R17" s="66"/>
      <c r="S17" s="67"/>
      <c r="T17" s="68"/>
      <c r="U17" s="69"/>
    </row>
    <row r="18" spans="1:22" ht="27.75" customHeight="1" x14ac:dyDescent="0.2">
      <c r="A18" s="54"/>
      <c r="B18" s="19" t="s">
        <v>46</v>
      </c>
      <c r="C18" s="20" t="s">
        <v>47</v>
      </c>
      <c r="D18" s="58"/>
      <c r="E18" s="49">
        <v>0</v>
      </c>
      <c r="F18" s="43">
        <v>1.8640000000000001</v>
      </c>
      <c r="G18" s="43">
        <v>1.4930000000000001</v>
      </c>
      <c r="H18" s="43">
        <v>0</v>
      </c>
      <c r="I18" s="43">
        <v>0</v>
      </c>
      <c r="J18" s="43">
        <v>0</v>
      </c>
      <c r="K18" s="43">
        <v>0</v>
      </c>
      <c r="L18" s="43">
        <v>0</v>
      </c>
      <c r="M18" s="44">
        <v>0</v>
      </c>
      <c r="N18" s="43">
        <v>0</v>
      </c>
      <c r="O18" s="43">
        <v>0</v>
      </c>
      <c r="P18" s="44">
        <v>0</v>
      </c>
      <c r="Q18" s="43">
        <v>0</v>
      </c>
      <c r="R18" s="66"/>
      <c r="S18" s="67"/>
      <c r="T18" s="68"/>
      <c r="U18" s="69"/>
    </row>
    <row r="19" spans="1:22" ht="27.75" customHeight="1" x14ac:dyDescent="0.2">
      <c r="A19" s="54"/>
      <c r="B19" s="19" t="s">
        <v>48</v>
      </c>
      <c r="C19" s="20" t="s">
        <v>49</v>
      </c>
      <c r="D19" s="58"/>
      <c r="E19" s="49">
        <v>0</v>
      </c>
      <c r="F19" s="43">
        <v>1.0629999999999999</v>
      </c>
      <c r="G19" s="43">
        <v>0.85299999999999998</v>
      </c>
      <c r="H19" s="43">
        <v>0</v>
      </c>
      <c r="I19" s="43">
        <v>0</v>
      </c>
      <c r="J19" s="43">
        <v>0</v>
      </c>
      <c r="K19" s="43">
        <v>0</v>
      </c>
      <c r="L19" s="43">
        <v>4.3390000000000004</v>
      </c>
      <c r="M19" s="44">
        <v>5.931</v>
      </c>
      <c r="N19" s="43">
        <v>0</v>
      </c>
      <c r="O19" s="43">
        <v>0</v>
      </c>
      <c r="P19" s="44">
        <v>0</v>
      </c>
      <c r="Q19" s="43">
        <v>0</v>
      </c>
      <c r="R19" s="66" t="s">
        <v>50</v>
      </c>
      <c r="S19" s="67" t="s">
        <v>51</v>
      </c>
      <c r="T19" s="68">
        <v>150</v>
      </c>
      <c r="U19" s="69"/>
    </row>
    <row r="20" spans="1:22" ht="27.75" customHeight="1" x14ac:dyDescent="0.2">
      <c r="A20" s="54"/>
      <c r="B20" s="19" t="s">
        <v>52</v>
      </c>
      <c r="C20" s="20" t="s">
        <v>53</v>
      </c>
      <c r="D20" s="59"/>
      <c r="E20" s="49">
        <v>0</v>
      </c>
      <c r="F20" s="43">
        <v>0.67100000000000004</v>
      </c>
      <c r="G20" s="43">
        <v>0.53800000000000003</v>
      </c>
      <c r="H20" s="43">
        <v>0</v>
      </c>
      <c r="I20" s="43">
        <v>0</v>
      </c>
      <c r="J20" s="43">
        <v>0</v>
      </c>
      <c r="K20" s="43">
        <v>0</v>
      </c>
      <c r="L20" s="43">
        <v>2.738</v>
      </c>
      <c r="M20" s="44">
        <v>7.2</v>
      </c>
      <c r="N20" s="43">
        <v>0</v>
      </c>
      <c r="O20" s="43">
        <v>0</v>
      </c>
      <c r="P20" s="44">
        <v>0</v>
      </c>
      <c r="Q20" s="43">
        <v>0</v>
      </c>
      <c r="R20" s="66"/>
      <c r="S20" s="67"/>
      <c r="T20" s="68">
        <v>150</v>
      </c>
      <c r="U20" s="69"/>
      <c r="V20" s="32"/>
    </row>
    <row r="21" spans="1:22" ht="27.75" customHeight="1" x14ac:dyDescent="0.2">
      <c r="A21" s="54"/>
      <c r="B21" s="19" t="s">
        <v>54</v>
      </c>
      <c r="C21" s="20" t="s">
        <v>55</v>
      </c>
      <c r="D21" s="58"/>
      <c r="E21" s="49">
        <v>0</v>
      </c>
      <c r="F21" s="43">
        <v>0.747</v>
      </c>
      <c r="G21" s="43">
        <v>0.59799999999999998</v>
      </c>
      <c r="H21" s="43">
        <v>0</v>
      </c>
      <c r="I21" s="43">
        <v>0</v>
      </c>
      <c r="J21" s="43">
        <v>0</v>
      </c>
      <c r="K21" s="43">
        <v>0</v>
      </c>
      <c r="L21" s="43">
        <v>4.9690000000000003</v>
      </c>
      <c r="M21" s="44">
        <v>5.2160000000000002</v>
      </c>
      <c r="N21" s="43">
        <v>0</v>
      </c>
      <c r="O21" s="43">
        <v>0</v>
      </c>
      <c r="P21" s="44">
        <v>0</v>
      </c>
      <c r="Q21" s="43">
        <v>0</v>
      </c>
      <c r="R21" s="66" t="s">
        <v>50</v>
      </c>
      <c r="S21" s="67" t="s">
        <v>51</v>
      </c>
      <c r="T21" s="68">
        <v>1150</v>
      </c>
      <c r="U21" s="69"/>
    </row>
    <row r="22" spans="1:22" ht="27.75" customHeight="1" x14ac:dyDescent="0.2">
      <c r="A22" s="54"/>
      <c r="B22" s="19" t="s">
        <v>56</v>
      </c>
      <c r="C22" s="20" t="s">
        <v>57</v>
      </c>
      <c r="D22" s="59"/>
      <c r="E22" s="49">
        <v>0</v>
      </c>
      <c r="F22" s="43">
        <v>0.43</v>
      </c>
      <c r="G22" s="43">
        <v>0.34200000000000003</v>
      </c>
      <c r="H22" s="43">
        <v>0</v>
      </c>
      <c r="I22" s="43">
        <v>0</v>
      </c>
      <c r="J22" s="43">
        <v>0</v>
      </c>
      <c r="K22" s="43">
        <v>0</v>
      </c>
      <c r="L22" s="43">
        <v>2.8490000000000002</v>
      </c>
      <c r="M22" s="44">
        <v>5.7510000000000003</v>
      </c>
      <c r="N22" s="43">
        <v>0</v>
      </c>
      <c r="O22" s="43">
        <v>0</v>
      </c>
      <c r="P22" s="44">
        <v>0</v>
      </c>
      <c r="Q22" s="43">
        <v>0</v>
      </c>
      <c r="R22" s="66"/>
      <c r="S22" s="67"/>
      <c r="T22" s="68">
        <v>1150</v>
      </c>
      <c r="U22" s="69"/>
      <c r="V22" s="32"/>
    </row>
    <row r="23" spans="1:22" ht="27.75" customHeight="1" x14ac:dyDescent="0.2">
      <c r="A23" s="54"/>
      <c r="B23" s="19" t="s">
        <v>58</v>
      </c>
      <c r="C23" s="20" t="s">
        <v>59</v>
      </c>
      <c r="D23" s="58"/>
      <c r="E23" s="49">
        <v>0</v>
      </c>
      <c r="F23" s="43">
        <v>0.504</v>
      </c>
      <c r="G23" s="43">
        <v>0.40600000000000003</v>
      </c>
      <c r="H23" s="43">
        <v>0</v>
      </c>
      <c r="I23" s="43">
        <v>0</v>
      </c>
      <c r="J23" s="43">
        <v>0</v>
      </c>
      <c r="K23" s="43">
        <v>0</v>
      </c>
      <c r="L23" s="43">
        <v>3.5720000000000001</v>
      </c>
      <c r="M23" s="44">
        <v>4.3339999999999996</v>
      </c>
      <c r="N23" s="43">
        <v>0</v>
      </c>
      <c r="O23" s="43">
        <v>0</v>
      </c>
      <c r="P23" s="44">
        <v>0</v>
      </c>
      <c r="Q23" s="43">
        <v>0</v>
      </c>
      <c r="R23" s="66"/>
      <c r="S23" s="67"/>
      <c r="T23" s="68">
        <v>11100</v>
      </c>
      <c r="U23" s="69"/>
    </row>
    <row r="24" spans="1:22" ht="27.75" customHeight="1" x14ac:dyDescent="0.2">
      <c r="A24" s="54"/>
      <c r="B24" s="19" t="s">
        <v>60</v>
      </c>
      <c r="C24" s="20" t="s">
        <v>61</v>
      </c>
      <c r="D24" s="58" t="s">
        <v>99</v>
      </c>
      <c r="E24" s="49">
        <v>0</v>
      </c>
      <c r="F24" s="43">
        <v>3.3530000000000002</v>
      </c>
      <c r="G24" s="43">
        <v>2.8460000000000001</v>
      </c>
      <c r="H24" s="43">
        <v>0</v>
      </c>
      <c r="I24" s="43">
        <v>2.8460000000000001</v>
      </c>
      <c r="J24" s="43">
        <v>2.5129999999999999</v>
      </c>
      <c r="K24" s="43">
        <v>0</v>
      </c>
      <c r="L24" s="43">
        <v>0</v>
      </c>
      <c r="M24" s="44">
        <v>0</v>
      </c>
      <c r="N24" s="43">
        <v>0</v>
      </c>
      <c r="O24" s="43">
        <v>0</v>
      </c>
      <c r="P24" s="44">
        <v>0</v>
      </c>
      <c r="Q24" s="43">
        <v>0</v>
      </c>
      <c r="R24" s="66" t="s">
        <v>20</v>
      </c>
      <c r="S24" s="67" t="s">
        <v>21</v>
      </c>
      <c r="T24" s="68"/>
      <c r="U24" s="69"/>
    </row>
    <row r="25" spans="1:22" ht="27.75" customHeight="1" x14ac:dyDescent="0.2">
      <c r="A25" s="54"/>
      <c r="B25" s="19" t="s">
        <v>62</v>
      </c>
      <c r="C25" s="20" t="s">
        <v>63</v>
      </c>
      <c r="D25" s="58" t="s">
        <v>99</v>
      </c>
      <c r="E25" s="49">
        <v>0</v>
      </c>
      <c r="F25" s="43">
        <v>2.4910000000000001</v>
      </c>
      <c r="G25" s="43">
        <v>1.1439999999999999</v>
      </c>
      <c r="H25" s="43">
        <v>0</v>
      </c>
      <c r="I25" s="43">
        <v>0</v>
      </c>
      <c r="J25" s="43">
        <v>0</v>
      </c>
      <c r="K25" s="43">
        <v>0</v>
      </c>
      <c r="L25" s="43">
        <v>0</v>
      </c>
      <c r="M25" s="44">
        <v>6.5270000000000001</v>
      </c>
      <c r="N25" s="43">
        <v>0</v>
      </c>
      <c r="O25" s="43">
        <v>0</v>
      </c>
      <c r="P25" s="44">
        <v>0</v>
      </c>
      <c r="Q25" s="43">
        <v>0</v>
      </c>
      <c r="R25" s="66" t="s">
        <v>20</v>
      </c>
      <c r="S25" s="67" t="s">
        <v>35</v>
      </c>
      <c r="T25" s="68"/>
      <c r="U25" s="69"/>
    </row>
    <row r="26" spans="1:22" ht="27.75" customHeight="1" x14ac:dyDescent="0.2">
      <c r="A26" s="54"/>
      <c r="B26" s="19" t="s">
        <v>64</v>
      </c>
      <c r="C26" s="20" t="s">
        <v>65</v>
      </c>
      <c r="D26" s="58" t="s">
        <v>99</v>
      </c>
      <c r="E26" s="49">
        <v>0</v>
      </c>
      <c r="F26" s="43">
        <v>4.5</v>
      </c>
      <c r="G26" s="43">
        <v>4.1829999999999998</v>
      </c>
      <c r="H26" s="43">
        <v>0</v>
      </c>
      <c r="I26" s="43">
        <v>4.1829999999999998</v>
      </c>
      <c r="J26" s="43">
        <v>3.9750000000000001</v>
      </c>
      <c r="K26" s="43">
        <v>0</v>
      </c>
      <c r="L26" s="43">
        <v>0</v>
      </c>
      <c r="M26" s="44">
        <v>0</v>
      </c>
      <c r="N26" s="43">
        <v>0</v>
      </c>
      <c r="O26" s="43">
        <v>0</v>
      </c>
      <c r="P26" s="44">
        <v>0</v>
      </c>
      <c r="Q26" s="43">
        <v>0</v>
      </c>
      <c r="R26" s="66" t="s">
        <v>20</v>
      </c>
      <c r="S26" s="67" t="s">
        <v>21</v>
      </c>
      <c r="T26" s="68"/>
      <c r="U26" s="69"/>
    </row>
    <row r="27" spans="1:22" ht="27.75" customHeight="1" x14ac:dyDescent="0.2">
      <c r="A27" s="54"/>
      <c r="B27" s="21" t="s">
        <v>66</v>
      </c>
      <c r="C27" s="22" t="s">
        <v>67</v>
      </c>
      <c r="D27" s="60" t="s">
        <v>99</v>
      </c>
      <c r="E27" s="40">
        <v>0</v>
      </c>
      <c r="F27" s="41">
        <v>3.8050000000000002</v>
      </c>
      <c r="G27" s="41">
        <v>3.5489999999999999</v>
      </c>
      <c r="H27" s="41">
        <v>0</v>
      </c>
      <c r="I27" s="41">
        <v>1.901</v>
      </c>
      <c r="J27" s="41">
        <v>1.677</v>
      </c>
      <c r="K27" s="41">
        <v>0</v>
      </c>
      <c r="L27" s="41">
        <v>0</v>
      </c>
      <c r="M27" s="42">
        <v>0</v>
      </c>
      <c r="N27" s="41">
        <v>0</v>
      </c>
      <c r="O27" s="43">
        <v>0</v>
      </c>
      <c r="P27" s="44">
        <v>0</v>
      </c>
      <c r="Q27" s="43">
        <v>0</v>
      </c>
      <c r="R27" s="115" t="s">
        <v>68</v>
      </c>
      <c r="S27" s="116"/>
      <c r="T27" s="45"/>
      <c r="U27" s="46"/>
    </row>
    <row r="28" spans="1:22" ht="27.75" customHeight="1" x14ac:dyDescent="0.2">
      <c r="A28" s="54"/>
      <c r="B28" s="37" t="s">
        <v>102</v>
      </c>
      <c r="C28" s="36" t="s">
        <v>104</v>
      </c>
      <c r="D28" s="60" t="s">
        <v>99</v>
      </c>
      <c r="E28" s="40">
        <v>0</v>
      </c>
      <c r="F28" s="41">
        <v>0.69899999999999995</v>
      </c>
      <c r="G28" s="41">
        <v>0.69899999999999995</v>
      </c>
      <c r="H28" s="41">
        <v>0.69899999999999995</v>
      </c>
      <c r="I28" s="41">
        <v>0.69899999999999995</v>
      </c>
      <c r="J28" s="41">
        <v>0.69899999999999995</v>
      </c>
      <c r="K28" s="41">
        <v>0.69899999999999995</v>
      </c>
      <c r="L28" s="41">
        <v>0</v>
      </c>
      <c r="M28" s="42">
        <v>0</v>
      </c>
      <c r="N28" s="41">
        <v>5.2380000000000004</v>
      </c>
      <c r="O28" s="43">
        <v>3.4049999999999998</v>
      </c>
      <c r="P28" s="44">
        <v>0</v>
      </c>
      <c r="Q28" s="43">
        <v>0</v>
      </c>
      <c r="R28" s="66" t="s">
        <v>20</v>
      </c>
      <c r="S28" s="67" t="s">
        <v>21</v>
      </c>
      <c r="T28" s="45"/>
      <c r="U28" s="73">
        <v>1.5</v>
      </c>
      <c r="V28" s="32"/>
    </row>
    <row r="29" spans="1:22" ht="27.75" customHeight="1" x14ac:dyDescent="0.2">
      <c r="A29" s="54"/>
      <c r="B29" s="37" t="s">
        <v>103</v>
      </c>
      <c r="C29" s="36" t="s">
        <v>106</v>
      </c>
      <c r="D29" s="60" t="s">
        <v>99</v>
      </c>
      <c r="E29" s="40">
        <v>0</v>
      </c>
      <c r="F29" s="41">
        <v>0.88400000000000001</v>
      </c>
      <c r="G29" s="41">
        <v>0.88400000000000001</v>
      </c>
      <c r="H29" s="41">
        <v>0.88400000000000001</v>
      </c>
      <c r="I29" s="41">
        <v>0.88400000000000001</v>
      </c>
      <c r="J29" s="41">
        <v>0.88400000000000001</v>
      </c>
      <c r="K29" s="41">
        <v>0.88400000000000001</v>
      </c>
      <c r="L29" s="41">
        <v>0</v>
      </c>
      <c r="M29" s="42">
        <v>0</v>
      </c>
      <c r="N29" s="41">
        <v>7.31</v>
      </c>
      <c r="O29" s="43">
        <v>4.8739999999999997</v>
      </c>
      <c r="P29" s="44">
        <v>0</v>
      </c>
      <c r="Q29" s="43">
        <v>0</v>
      </c>
      <c r="R29" s="66" t="s">
        <v>20</v>
      </c>
      <c r="S29" s="67" t="s">
        <v>35</v>
      </c>
      <c r="T29" s="45"/>
      <c r="U29" s="73">
        <v>1.5</v>
      </c>
      <c r="V29" s="32"/>
    </row>
    <row r="30" spans="1:22" ht="27.75" customHeight="1" thickBot="1" x14ac:dyDescent="0.25">
      <c r="A30" s="54"/>
      <c r="B30" s="37" t="s">
        <v>105</v>
      </c>
      <c r="C30" s="36" t="s">
        <v>107</v>
      </c>
      <c r="D30" s="60" t="s">
        <v>99</v>
      </c>
      <c r="E30" s="40">
        <v>0</v>
      </c>
      <c r="F30" s="41">
        <v>1.3320000000000001</v>
      </c>
      <c r="G30" s="41">
        <v>1.3320000000000001</v>
      </c>
      <c r="H30" s="41">
        <v>1.3320000000000001</v>
      </c>
      <c r="I30" s="41">
        <v>1.3320000000000001</v>
      </c>
      <c r="J30" s="41">
        <v>1.3320000000000001</v>
      </c>
      <c r="K30" s="41">
        <v>1.3320000000000001</v>
      </c>
      <c r="L30" s="41">
        <v>0</v>
      </c>
      <c r="M30" s="42">
        <v>0</v>
      </c>
      <c r="N30" s="41">
        <v>4.4640000000000004</v>
      </c>
      <c r="O30" s="43">
        <v>2.976</v>
      </c>
      <c r="P30" s="44">
        <v>0</v>
      </c>
      <c r="Q30" s="43">
        <v>0</v>
      </c>
      <c r="R30" s="66" t="s">
        <v>20</v>
      </c>
      <c r="S30" s="67" t="s">
        <v>98</v>
      </c>
      <c r="T30" s="68"/>
      <c r="U30" s="73">
        <v>1.5</v>
      </c>
    </row>
    <row r="31" spans="1:22" ht="15" customHeight="1" thickBot="1" x14ac:dyDescent="0.25">
      <c r="B31" s="18"/>
      <c r="C31" s="23"/>
      <c r="D31" s="6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74"/>
      <c r="S31" s="74"/>
      <c r="T31" s="74"/>
      <c r="U31" s="75"/>
    </row>
    <row r="32" spans="1:22" ht="15" customHeight="1" x14ac:dyDescent="0.2">
      <c r="B32" s="18"/>
      <c r="C32" s="23"/>
      <c r="D32" s="23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3"/>
      <c r="S32" s="23"/>
      <c r="T32" s="23"/>
      <c r="U32" s="25"/>
    </row>
    <row r="33" spans="1:21" ht="16.149999999999999" customHeight="1" x14ac:dyDescent="0.2">
      <c r="B33" s="38" t="s">
        <v>69</v>
      </c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7"/>
    </row>
    <row r="34" spans="1:21" ht="16.149999999999999" customHeight="1" x14ac:dyDescent="0.2">
      <c r="B34" s="38" t="s">
        <v>70</v>
      </c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7"/>
    </row>
    <row r="35" spans="1:21" ht="16.149999999999999" customHeight="1" x14ac:dyDescent="0.2">
      <c r="B35" s="39" t="s">
        <v>71</v>
      </c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7"/>
    </row>
    <row r="36" spans="1:21" ht="16.149999999999999" customHeight="1" x14ac:dyDescent="0.2">
      <c r="B36" s="39" t="s">
        <v>72</v>
      </c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7"/>
    </row>
    <row r="37" spans="1:21" ht="16.149999999999999" customHeight="1" x14ac:dyDescent="0.2">
      <c r="B37" s="38" t="s">
        <v>73</v>
      </c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7"/>
    </row>
    <row r="38" spans="1:21" ht="16.149999999999999" customHeight="1" x14ac:dyDescent="0.2">
      <c r="B38" s="56" t="s">
        <v>101</v>
      </c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7"/>
    </row>
    <row r="39" spans="1:21" ht="16.149999999999999" customHeight="1" x14ac:dyDescent="0.2">
      <c r="B39" s="56" t="s">
        <v>112</v>
      </c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7"/>
    </row>
    <row r="40" spans="1:21" ht="16.149999999999999" customHeight="1" x14ac:dyDescent="0.2">
      <c r="B40" s="56" t="s">
        <v>114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7"/>
    </row>
    <row r="41" spans="1:21" ht="15" customHeight="1" thickBot="1" x14ac:dyDescent="0.25">
      <c r="B41" s="28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30"/>
    </row>
    <row r="42" spans="1:21" x14ac:dyDescent="0.2"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31"/>
      <c r="O42" s="31"/>
      <c r="P42" s="26"/>
      <c r="Q42" s="26"/>
      <c r="R42" s="26"/>
      <c r="S42" s="26"/>
      <c r="T42" s="26"/>
      <c r="U42" s="26"/>
    </row>
    <row r="43" spans="1:21" x14ac:dyDescent="0.2">
      <c r="B43" s="26"/>
      <c r="C43" s="26"/>
      <c r="D43" s="26"/>
      <c r="S43" s="26"/>
      <c r="T43" s="26"/>
      <c r="U43" s="26"/>
    </row>
    <row r="44" spans="1:21" x14ac:dyDescent="0.2">
      <c r="A44"/>
    </row>
    <row r="45" spans="1:21" x14ac:dyDescent="0.2">
      <c r="A45"/>
    </row>
    <row r="46" spans="1:21" x14ac:dyDescent="0.2">
      <c r="A46"/>
    </row>
    <row r="47" spans="1:21" x14ac:dyDescent="0.2">
      <c r="A47"/>
    </row>
    <row r="48" spans="1:21" x14ac:dyDescent="0.2">
      <c r="A48"/>
    </row>
    <row r="49" spans="1:1" x14ac:dyDescent="0.2">
      <c r="A49"/>
    </row>
    <row r="50" spans="1:1" x14ac:dyDescent="0.2">
      <c r="A50"/>
    </row>
    <row r="51" spans="1:1" x14ac:dyDescent="0.2">
      <c r="A51"/>
    </row>
    <row r="52" spans="1:1" x14ac:dyDescent="0.2">
      <c r="A52"/>
    </row>
    <row r="53" spans="1:1" x14ac:dyDescent="0.2">
      <c r="A53"/>
    </row>
    <row r="54" spans="1:1" x14ac:dyDescent="0.2">
      <c r="A54"/>
    </row>
    <row r="55" spans="1:1" x14ac:dyDescent="0.2">
      <c r="A55"/>
    </row>
    <row r="56" spans="1:1" x14ac:dyDescent="0.2">
      <c r="A56"/>
    </row>
    <row r="57" spans="1:1" x14ac:dyDescent="0.2">
      <c r="A57"/>
    </row>
    <row r="58" spans="1:1" x14ac:dyDescent="0.2">
      <c r="A58"/>
    </row>
    <row r="59" spans="1:1" x14ac:dyDescent="0.2">
      <c r="A59"/>
    </row>
    <row r="60" spans="1:1" x14ac:dyDescent="0.2">
      <c r="A60"/>
    </row>
    <row r="61" spans="1:1" x14ac:dyDescent="0.2">
      <c r="A61"/>
    </row>
    <row r="62" spans="1:1" x14ac:dyDescent="0.2">
      <c r="A62"/>
    </row>
    <row r="63" spans="1:1" x14ac:dyDescent="0.2">
      <c r="A63"/>
    </row>
    <row r="64" spans="1:1" x14ac:dyDescent="0.2">
      <c r="A64"/>
    </row>
    <row r="65" spans="1:1" x14ac:dyDescent="0.2">
      <c r="A65"/>
    </row>
    <row r="66" spans="1:1" x14ac:dyDescent="0.2">
      <c r="A66"/>
    </row>
    <row r="67" spans="1:1" x14ac:dyDescent="0.2">
      <c r="A67"/>
    </row>
    <row r="68" spans="1:1" x14ac:dyDescent="0.2">
      <c r="A68"/>
    </row>
    <row r="69" spans="1:1" x14ac:dyDescent="0.2">
      <c r="A69"/>
    </row>
    <row r="70" spans="1:1" x14ac:dyDescent="0.2">
      <c r="A70"/>
    </row>
    <row r="71" spans="1:1" x14ac:dyDescent="0.2">
      <c r="A71"/>
    </row>
    <row r="72" spans="1:1" x14ac:dyDescent="0.2">
      <c r="A72"/>
    </row>
    <row r="73" spans="1:1" x14ac:dyDescent="0.2">
      <c r="A73"/>
    </row>
    <row r="74" spans="1:1" x14ac:dyDescent="0.2">
      <c r="A74"/>
    </row>
    <row r="75" spans="1:1" x14ac:dyDescent="0.2">
      <c r="A75"/>
    </row>
    <row r="76" spans="1:1" x14ac:dyDescent="0.2">
      <c r="A76"/>
    </row>
    <row r="77" spans="1:1" x14ac:dyDescent="0.2">
      <c r="A77"/>
    </row>
    <row r="78" spans="1:1" x14ac:dyDescent="0.2">
      <c r="A78"/>
    </row>
    <row r="79" spans="1:1" x14ac:dyDescent="0.2">
      <c r="A79"/>
    </row>
    <row r="80" spans="1:1" x14ac:dyDescent="0.2">
      <c r="A80"/>
    </row>
    <row r="81" spans="1:1" x14ac:dyDescent="0.2">
      <c r="A81"/>
    </row>
    <row r="82" spans="1:1" x14ac:dyDescent="0.2">
      <c r="A82"/>
    </row>
    <row r="83" spans="1:1" x14ac:dyDescent="0.2">
      <c r="A83"/>
    </row>
    <row r="84" spans="1:1" x14ac:dyDescent="0.2">
      <c r="A84"/>
    </row>
    <row r="85" spans="1:1" x14ac:dyDescent="0.2">
      <c r="A85"/>
    </row>
    <row r="86" spans="1:1" x14ac:dyDescent="0.2">
      <c r="A86"/>
    </row>
    <row r="87" spans="1:1" x14ac:dyDescent="0.2">
      <c r="A87"/>
    </row>
    <row r="88" spans="1:1" x14ac:dyDescent="0.2">
      <c r="A88"/>
    </row>
    <row r="89" spans="1:1" x14ac:dyDescent="0.2">
      <c r="A89"/>
    </row>
    <row r="90" spans="1:1" x14ac:dyDescent="0.2">
      <c r="A90"/>
    </row>
    <row r="91" spans="1:1" x14ac:dyDescent="0.2">
      <c r="A91"/>
    </row>
    <row r="92" spans="1:1" x14ac:dyDescent="0.2">
      <c r="A92"/>
    </row>
    <row r="93" spans="1:1" x14ac:dyDescent="0.2">
      <c r="A93"/>
    </row>
    <row r="94" spans="1:1" x14ac:dyDescent="0.2">
      <c r="A94"/>
    </row>
    <row r="95" spans="1:1" x14ac:dyDescent="0.2">
      <c r="A95"/>
    </row>
  </sheetData>
  <mergeCells count="4">
    <mergeCell ref="B2:T2"/>
    <mergeCell ref="E4:Q4"/>
    <mergeCell ref="R4:S4"/>
    <mergeCell ref="R27:S27"/>
  </mergeCells>
  <pageMargins left="0.74803149606299213" right="0.74803149606299213" top="0.39370078740157483" bottom="0.11811023622047245" header="0.11811023622047245" footer="0.11811023622047245"/>
  <pageSetup paperSize="9" scale="45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V95"/>
  <sheetViews>
    <sheetView showGridLines="0" showZeros="0" zoomScale="60" zoomScaleNormal="60" workbookViewId="0"/>
  </sheetViews>
  <sheetFormatPr defaultRowHeight="12.75" x14ac:dyDescent="0.2"/>
  <cols>
    <col min="1" max="1" width="4.7109375" style="52" customWidth="1"/>
    <col min="2" max="2" width="27.7109375" customWidth="1"/>
    <col min="3" max="3" width="21.85546875" customWidth="1"/>
    <col min="4" max="4" width="10.42578125" customWidth="1"/>
    <col min="5" max="6" width="11.140625" customWidth="1"/>
    <col min="7" max="7" width="13.5703125" customWidth="1"/>
    <col min="8" max="11" width="11.140625" customWidth="1"/>
    <col min="12" max="13" width="13.28515625" customWidth="1"/>
    <col min="14" max="17" width="12.28515625" customWidth="1"/>
    <col min="18" max="19" width="11.7109375" customWidth="1"/>
    <col min="20" max="21" width="14.28515625" customWidth="1"/>
    <col min="22" max="22" width="9.5703125" customWidth="1"/>
  </cols>
  <sheetData>
    <row r="1" spans="1:21" ht="12.75" customHeight="1" thickBot="1" x14ac:dyDescent="0.25"/>
    <row r="2" spans="1:21" s="2" customFormat="1" ht="18" x14ac:dyDescent="0.25">
      <c r="A2" s="53"/>
      <c r="B2" s="108" t="s">
        <v>89</v>
      </c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"/>
    </row>
    <row r="3" spans="1:21" s="2" customFormat="1" ht="18.75" thickBot="1" x14ac:dyDescent="0.3">
      <c r="A3" s="53"/>
      <c r="B3" s="33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5"/>
    </row>
    <row r="4" spans="1:21" s="6" customFormat="1" ht="63" customHeight="1" thickBot="1" x14ac:dyDescent="0.25">
      <c r="B4" s="3"/>
      <c r="C4" s="4"/>
      <c r="D4" s="4"/>
      <c r="E4" s="110" t="s">
        <v>0</v>
      </c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2"/>
      <c r="R4" s="113" t="s">
        <v>1</v>
      </c>
      <c r="S4" s="114"/>
      <c r="T4" s="5" t="s">
        <v>2</v>
      </c>
      <c r="U4" s="5" t="s">
        <v>3</v>
      </c>
    </row>
    <row r="5" spans="1:21" s="6" customFormat="1" ht="99" customHeight="1" thickBot="1" x14ac:dyDescent="0.25">
      <c r="B5" s="7" t="s">
        <v>4</v>
      </c>
      <c r="C5" s="8" t="s">
        <v>5</v>
      </c>
      <c r="D5" s="9" t="s">
        <v>6</v>
      </c>
      <c r="E5" s="10" t="s">
        <v>7</v>
      </c>
      <c r="F5" s="11" t="s">
        <v>8</v>
      </c>
      <c r="G5" s="11" t="s">
        <v>9</v>
      </c>
      <c r="H5" s="11" t="s">
        <v>10</v>
      </c>
      <c r="I5" s="11" t="s">
        <v>11</v>
      </c>
      <c r="J5" s="11" t="s">
        <v>12</v>
      </c>
      <c r="K5" s="11" t="s">
        <v>13</v>
      </c>
      <c r="L5" s="11" t="s">
        <v>14</v>
      </c>
      <c r="M5" s="12" t="s">
        <v>15</v>
      </c>
      <c r="N5" s="12" t="s">
        <v>77</v>
      </c>
      <c r="O5" s="12" t="s">
        <v>76</v>
      </c>
      <c r="P5" s="12" t="s">
        <v>74</v>
      </c>
      <c r="Q5" s="12" t="s">
        <v>75</v>
      </c>
      <c r="R5" s="13" t="s">
        <v>16</v>
      </c>
      <c r="S5" s="14" t="s">
        <v>17</v>
      </c>
      <c r="T5" s="15" t="s">
        <v>16</v>
      </c>
      <c r="U5" s="16" t="s">
        <v>78</v>
      </c>
    </row>
    <row r="6" spans="1:21" ht="27.75" customHeight="1" x14ac:dyDescent="0.2">
      <c r="B6" s="17" t="s">
        <v>18</v>
      </c>
      <c r="C6" s="18" t="s">
        <v>19</v>
      </c>
      <c r="D6" s="57" t="s">
        <v>99</v>
      </c>
      <c r="E6" s="47">
        <v>6.6520000000000001</v>
      </c>
      <c r="F6" s="48">
        <v>10.272</v>
      </c>
      <c r="G6" s="48">
        <v>7.01</v>
      </c>
      <c r="H6" s="48">
        <v>0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50">
        <v>0</v>
      </c>
      <c r="Q6" s="50">
        <v>0</v>
      </c>
      <c r="R6" s="62" t="s">
        <v>20</v>
      </c>
      <c r="S6" s="63" t="s">
        <v>21</v>
      </c>
      <c r="T6" s="64"/>
      <c r="U6" s="65"/>
    </row>
    <row r="7" spans="1:21" ht="27.75" customHeight="1" x14ac:dyDescent="0.2">
      <c r="B7" s="19" t="s">
        <v>22</v>
      </c>
      <c r="C7" s="20" t="s">
        <v>23</v>
      </c>
      <c r="D7" s="58"/>
      <c r="E7" s="49">
        <v>13.586</v>
      </c>
      <c r="F7" s="43">
        <v>13.227</v>
      </c>
      <c r="G7" s="43">
        <v>10.178000000000001</v>
      </c>
      <c r="H7" s="43">
        <v>0</v>
      </c>
      <c r="I7" s="43">
        <v>0</v>
      </c>
      <c r="J7" s="43">
        <v>0</v>
      </c>
      <c r="K7" s="43">
        <v>1.6910000000000001</v>
      </c>
      <c r="L7" s="43">
        <v>0</v>
      </c>
      <c r="M7" s="44">
        <v>0</v>
      </c>
      <c r="N7" s="43">
        <v>0</v>
      </c>
      <c r="O7" s="43">
        <v>0</v>
      </c>
      <c r="P7" s="44">
        <v>0</v>
      </c>
      <c r="Q7" s="43">
        <v>0</v>
      </c>
      <c r="R7" s="66"/>
      <c r="S7" s="67"/>
      <c r="T7" s="68"/>
      <c r="U7" s="69"/>
    </row>
    <row r="8" spans="1:21" ht="27.75" customHeight="1" x14ac:dyDescent="0.2">
      <c r="B8" s="19" t="s">
        <v>24</v>
      </c>
      <c r="C8" s="20" t="s">
        <v>25</v>
      </c>
      <c r="D8" s="58"/>
      <c r="E8" s="49">
        <v>0</v>
      </c>
      <c r="F8" s="43">
        <v>0</v>
      </c>
      <c r="G8" s="43">
        <v>0</v>
      </c>
      <c r="H8" s="43">
        <v>0</v>
      </c>
      <c r="I8" s="43">
        <v>0</v>
      </c>
      <c r="J8" s="43">
        <v>0</v>
      </c>
      <c r="K8" s="43">
        <v>1.871</v>
      </c>
      <c r="L8" s="43">
        <v>0</v>
      </c>
      <c r="M8" s="44">
        <v>0</v>
      </c>
      <c r="N8" s="43">
        <v>0</v>
      </c>
      <c r="O8" s="43">
        <v>0</v>
      </c>
      <c r="P8" s="44">
        <v>0</v>
      </c>
      <c r="Q8" s="43">
        <v>0</v>
      </c>
      <c r="R8" s="66" t="s">
        <v>20</v>
      </c>
      <c r="S8" s="70" t="s">
        <v>26</v>
      </c>
      <c r="T8" s="71"/>
      <c r="U8" s="72"/>
    </row>
    <row r="9" spans="1:21" ht="27.75" customHeight="1" x14ac:dyDescent="0.2">
      <c r="B9" s="19" t="s">
        <v>27</v>
      </c>
      <c r="C9" s="20" t="s">
        <v>28</v>
      </c>
      <c r="D9" s="58"/>
      <c r="E9" s="49">
        <v>0</v>
      </c>
      <c r="F9" s="43">
        <v>11.453999999999999</v>
      </c>
      <c r="G9" s="43">
        <v>8.5990000000000002</v>
      </c>
      <c r="H9" s="43">
        <v>0</v>
      </c>
      <c r="I9" s="43">
        <v>0</v>
      </c>
      <c r="J9" s="43">
        <v>0</v>
      </c>
      <c r="K9" s="43">
        <v>1.478</v>
      </c>
      <c r="L9" s="43">
        <v>0</v>
      </c>
      <c r="M9" s="44">
        <v>0</v>
      </c>
      <c r="N9" s="43">
        <v>0</v>
      </c>
      <c r="O9" s="43">
        <v>0</v>
      </c>
      <c r="P9" s="44">
        <v>0</v>
      </c>
      <c r="Q9" s="43">
        <v>0</v>
      </c>
      <c r="R9" s="66"/>
      <c r="S9" s="67"/>
      <c r="T9" s="71"/>
      <c r="U9" s="72"/>
    </row>
    <row r="10" spans="1:21" ht="27.75" customHeight="1" x14ac:dyDescent="0.2">
      <c r="B10" s="19" t="s">
        <v>29</v>
      </c>
      <c r="C10" s="20" t="s">
        <v>30</v>
      </c>
      <c r="D10" s="58"/>
      <c r="E10" s="49">
        <v>8.5670000000000002</v>
      </c>
      <c r="F10" s="43">
        <v>8.7050000000000001</v>
      </c>
      <c r="G10" s="43">
        <v>6.5869999999999997</v>
      </c>
      <c r="H10" s="43">
        <v>3.6269999999999998</v>
      </c>
      <c r="I10" s="43">
        <v>0</v>
      </c>
      <c r="J10" s="43">
        <v>0</v>
      </c>
      <c r="K10" s="43">
        <v>0</v>
      </c>
      <c r="L10" s="43">
        <v>0</v>
      </c>
      <c r="M10" s="44">
        <v>0</v>
      </c>
      <c r="N10" s="43">
        <v>0</v>
      </c>
      <c r="O10" s="43">
        <v>0</v>
      </c>
      <c r="P10" s="44">
        <v>0</v>
      </c>
      <c r="Q10" s="43">
        <v>0</v>
      </c>
      <c r="R10" s="66"/>
      <c r="S10" s="67"/>
      <c r="T10" s="68"/>
      <c r="U10" s="69"/>
    </row>
    <row r="11" spans="1:21" ht="27.75" customHeight="1" x14ac:dyDescent="0.2">
      <c r="B11" s="19" t="s">
        <v>31</v>
      </c>
      <c r="C11" s="20" t="s">
        <v>32</v>
      </c>
      <c r="D11" s="58"/>
      <c r="E11" s="49">
        <v>0</v>
      </c>
      <c r="F11" s="43">
        <v>21.247</v>
      </c>
      <c r="G11" s="43">
        <v>4.891</v>
      </c>
      <c r="H11" s="43">
        <v>0</v>
      </c>
      <c r="I11" s="43">
        <v>0</v>
      </c>
      <c r="J11" s="43">
        <v>0</v>
      </c>
      <c r="K11" s="43">
        <v>1.371</v>
      </c>
      <c r="L11" s="43">
        <v>0</v>
      </c>
      <c r="M11" s="44">
        <v>79.718999999999994</v>
      </c>
      <c r="N11" s="43">
        <v>0</v>
      </c>
      <c r="O11" s="43">
        <v>0</v>
      </c>
      <c r="P11" s="44">
        <v>0</v>
      </c>
      <c r="Q11" s="43">
        <v>0</v>
      </c>
      <c r="R11" s="66"/>
      <c r="S11" s="67"/>
      <c r="T11" s="68"/>
      <c r="U11" s="69"/>
    </row>
    <row r="12" spans="1:21" ht="27.75" customHeight="1" x14ac:dyDescent="0.2">
      <c r="B12" s="19" t="s">
        <v>33</v>
      </c>
      <c r="C12" s="20" t="s">
        <v>34</v>
      </c>
      <c r="D12" s="58" t="s">
        <v>99</v>
      </c>
      <c r="E12" s="49">
        <v>10.987</v>
      </c>
      <c r="F12" s="43">
        <v>12.089</v>
      </c>
      <c r="G12" s="43">
        <v>7.968</v>
      </c>
      <c r="H12" s="43">
        <v>0</v>
      </c>
      <c r="I12" s="43">
        <v>0</v>
      </c>
      <c r="J12" s="43">
        <v>0</v>
      </c>
      <c r="K12" s="43">
        <v>0</v>
      </c>
      <c r="L12" s="43">
        <v>0</v>
      </c>
      <c r="M12" s="44">
        <v>0</v>
      </c>
      <c r="N12" s="43">
        <v>0</v>
      </c>
      <c r="O12" s="43">
        <v>0</v>
      </c>
      <c r="P12" s="44">
        <v>0</v>
      </c>
      <c r="Q12" s="43">
        <v>0</v>
      </c>
      <c r="R12" s="66" t="s">
        <v>20</v>
      </c>
      <c r="S12" s="67" t="s">
        <v>35</v>
      </c>
      <c r="T12" s="68"/>
      <c r="U12" s="69"/>
    </row>
    <row r="13" spans="1:21" ht="27.75" customHeight="1" x14ac:dyDescent="0.2">
      <c r="B13" s="19" t="s">
        <v>36</v>
      </c>
      <c r="C13" s="20" t="s">
        <v>37</v>
      </c>
      <c r="D13" s="58"/>
      <c r="E13" s="49">
        <v>21.03</v>
      </c>
      <c r="F13" s="43">
        <v>12.318</v>
      </c>
      <c r="G13" s="43">
        <v>9.3369999999999997</v>
      </c>
      <c r="H13" s="43">
        <v>0</v>
      </c>
      <c r="I13" s="43">
        <v>0</v>
      </c>
      <c r="J13" s="43">
        <v>0</v>
      </c>
      <c r="K13" s="43">
        <v>1.907</v>
      </c>
      <c r="L13" s="43">
        <v>0</v>
      </c>
      <c r="M13" s="44">
        <v>0</v>
      </c>
      <c r="N13" s="43">
        <v>0</v>
      </c>
      <c r="O13" s="43">
        <v>0</v>
      </c>
      <c r="P13" s="44">
        <v>0</v>
      </c>
      <c r="Q13" s="43">
        <v>0</v>
      </c>
      <c r="R13" s="66"/>
      <c r="S13" s="67"/>
      <c r="T13" s="68"/>
      <c r="U13" s="69"/>
    </row>
    <row r="14" spans="1:21" ht="27.75" customHeight="1" x14ac:dyDescent="0.2">
      <c r="B14" s="19" t="s">
        <v>38</v>
      </c>
      <c r="C14" s="20" t="s">
        <v>39</v>
      </c>
      <c r="D14" s="58"/>
      <c r="E14" s="49">
        <v>22.387</v>
      </c>
      <c r="F14" s="43">
        <v>12.225999999999999</v>
      </c>
      <c r="G14" s="43">
        <v>9.5329999999999995</v>
      </c>
      <c r="H14" s="43">
        <v>0</v>
      </c>
      <c r="I14" s="43">
        <v>0</v>
      </c>
      <c r="J14" s="43">
        <v>0</v>
      </c>
      <c r="K14" s="43">
        <v>1.7729999999999999</v>
      </c>
      <c r="L14" s="43">
        <v>0</v>
      </c>
      <c r="M14" s="44">
        <v>0</v>
      </c>
      <c r="N14" s="43">
        <v>0</v>
      </c>
      <c r="O14" s="43">
        <v>0</v>
      </c>
      <c r="P14" s="44">
        <v>0</v>
      </c>
      <c r="Q14" s="43">
        <v>0</v>
      </c>
      <c r="R14" s="66"/>
      <c r="S14" s="67"/>
      <c r="T14" s="68"/>
      <c r="U14" s="69"/>
    </row>
    <row r="15" spans="1:21" ht="27.75" customHeight="1" x14ac:dyDescent="0.2">
      <c r="B15" s="19" t="s">
        <v>40</v>
      </c>
      <c r="C15" s="20" t="s">
        <v>41</v>
      </c>
      <c r="D15" s="58"/>
      <c r="E15" s="49">
        <v>0</v>
      </c>
      <c r="F15" s="43">
        <v>10.355</v>
      </c>
      <c r="G15" s="43">
        <v>6.484</v>
      </c>
      <c r="H15" s="43">
        <v>0</v>
      </c>
      <c r="I15" s="43">
        <v>0</v>
      </c>
      <c r="J15" s="43">
        <v>0</v>
      </c>
      <c r="K15" s="43">
        <v>1.9570000000000001</v>
      </c>
      <c r="L15" s="43">
        <v>0</v>
      </c>
      <c r="M15" s="44">
        <v>49.344999999999999</v>
      </c>
      <c r="N15" s="43">
        <v>0</v>
      </c>
      <c r="O15" s="43">
        <v>0</v>
      </c>
      <c r="P15" s="44">
        <v>0</v>
      </c>
      <c r="Q15" s="43">
        <v>0</v>
      </c>
      <c r="R15" s="66"/>
      <c r="S15" s="67"/>
      <c r="T15" s="68"/>
      <c r="U15" s="69"/>
    </row>
    <row r="16" spans="1:21" ht="27.75" customHeight="1" x14ac:dyDescent="0.2">
      <c r="B16" s="19" t="s">
        <v>42</v>
      </c>
      <c r="C16" s="20" t="s">
        <v>43</v>
      </c>
      <c r="D16" s="58"/>
      <c r="E16" s="49">
        <v>0</v>
      </c>
      <c r="F16" s="43">
        <v>8.3840000000000003</v>
      </c>
      <c r="G16" s="43">
        <v>6.4779999999999998</v>
      </c>
      <c r="H16" s="43">
        <v>0</v>
      </c>
      <c r="I16" s="43">
        <v>0</v>
      </c>
      <c r="J16" s="43">
        <v>0</v>
      </c>
      <c r="K16" s="43">
        <v>1.653</v>
      </c>
      <c r="L16" s="43">
        <v>0</v>
      </c>
      <c r="M16" s="44">
        <v>73.957000000000008</v>
      </c>
      <c r="N16" s="43">
        <v>0</v>
      </c>
      <c r="O16" s="43">
        <v>0</v>
      </c>
      <c r="P16" s="44">
        <v>0</v>
      </c>
      <c r="Q16" s="43">
        <v>0</v>
      </c>
      <c r="R16" s="66"/>
      <c r="S16" s="67"/>
      <c r="T16" s="68"/>
      <c r="U16" s="69"/>
    </row>
    <row r="17" spans="2:22" ht="27.75" customHeight="1" x14ac:dyDescent="0.2">
      <c r="B17" s="19" t="s">
        <v>44</v>
      </c>
      <c r="C17" s="20" t="s">
        <v>45</v>
      </c>
      <c r="D17" s="58"/>
      <c r="E17" s="49">
        <v>12.657</v>
      </c>
      <c r="F17" s="43">
        <v>8.2210000000000001</v>
      </c>
      <c r="G17" s="43">
        <v>6.5110000000000001</v>
      </c>
      <c r="H17" s="43">
        <v>0</v>
      </c>
      <c r="I17" s="43">
        <v>0</v>
      </c>
      <c r="J17" s="43">
        <v>0</v>
      </c>
      <c r="K17" s="43">
        <v>0</v>
      </c>
      <c r="L17" s="43">
        <v>0</v>
      </c>
      <c r="M17" s="44">
        <v>0</v>
      </c>
      <c r="N17" s="43">
        <v>0</v>
      </c>
      <c r="O17" s="43">
        <v>0</v>
      </c>
      <c r="P17" s="44">
        <v>0</v>
      </c>
      <c r="Q17" s="43">
        <v>0</v>
      </c>
      <c r="R17" s="66"/>
      <c r="S17" s="67"/>
      <c r="T17" s="68"/>
      <c r="U17" s="69"/>
    </row>
    <row r="18" spans="2:22" ht="27.75" customHeight="1" x14ac:dyDescent="0.2">
      <c r="B18" s="19" t="s">
        <v>46</v>
      </c>
      <c r="C18" s="20" t="s">
        <v>47</v>
      </c>
      <c r="D18" s="58"/>
      <c r="E18" s="49">
        <v>18.257999999999999</v>
      </c>
      <c r="F18" s="43">
        <v>10.938000000000001</v>
      </c>
      <c r="G18" s="43">
        <v>8.7080000000000002</v>
      </c>
      <c r="H18" s="43">
        <v>0</v>
      </c>
      <c r="I18" s="43">
        <v>0</v>
      </c>
      <c r="J18" s="43">
        <v>0</v>
      </c>
      <c r="K18" s="43">
        <v>1.7270000000000001</v>
      </c>
      <c r="L18" s="43">
        <v>0</v>
      </c>
      <c r="M18" s="44">
        <v>0</v>
      </c>
      <c r="N18" s="43">
        <v>0</v>
      </c>
      <c r="O18" s="43">
        <v>0</v>
      </c>
      <c r="P18" s="44">
        <v>0</v>
      </c>
      <c r="Q18" s="43">
        <v>0</v>
      </c>
      <c r="R18" s="66"/>
      <c r="S18" s="67"/>
      <c r="T18" s="68"/>
      <c r="U18" s="69"/>
    </row>
    <row r="19" spans="2:22" ht="27.75" customHeight="1" x14ac:dyDescent="0.2">
      <c r="B19" s="19" t="s">
        <v>48</v>
      </c>
      <c r="C19" s="20" t="s">
        <v>49</v>
      </c>
      <c r="D19" s="58"/>
      <c r="E19" s="49">
        <v>0</v>
      </c>
      <c r="F19" s="43">
        <v>2.3679999999999999</v>
      </c>
      <c r="G19" s="43">
        <v>1.9590000000000001</v>
      </c>
      <c r="H19" s="43">
        <v>0</v>
      </c>
      <c r="I19" s="43">
        <v>0</v>
      </c>
      <c r="J19" s="43">
        <v>0</v>
      </c>
      <c r="K19" s="43">
        <v>1.095</v>
      </c>
      <c r="L19" s="43">
        <v>17.511000000000003</v>
      </c>
      <c r="M19" s="44">
        <v>25.581</v>
      </c>
      <c r="N19" s="43">
        <v>0</v>
      </c>
      <c r="O19" s="43">
        <v>0</v>
      </c>
      <c r="P19" s="44">
        <v>0</v>
      </c>
      <c r="Q19" s="43">
        <v>0</v>
      </c>
      <c r="R19" s="66" t="s">
        <v>50</v>
      </c>
      <c r="S19" s="67" t="s">
        <v>51</v>
      </c>
      <c r="T19" s="68">
        <v>150</v>
      </c>
      <c r="U19" s="69"/>
    </row>
    <row r="20" spans="2:22" ht="27.75" customHeight="1" x14ac:dyDescent="0.2">
      <c r="B20" s="19" t="s">
        <v>52</v>
      </c>
      <c r="C20" s="20" t="s">
        <v>53</v>
      </c>
      <c r="D20" s="59"/>
      <c r="E20" s="49">
        <v>0</v>
      </c>
      <c r="F20" s="43">
        <v>1.81</v>
      </c>
      <c r="G20" s="43">
        <v>1.48</v>
      </c>
      <c r="H20" s="43">
        <v>0</v>
      </c>
      <c r="I20" s="43">
        <v>0</v>
      </c>
      <c r="J20" s="43">
        <v>0</v>
      </c>
      <c r="K20" s="43">
        <v>0.93600000000000005</v>
      </c>
      <c r="L20" s="43">
        <v>15.844999999999999</v>
      </c>
      <c r="M20" s="44">
        <v>38.117000000000004</v>
      </c>
      <c r="N20" s="43">
        <v>0</v>
      </c>
      <c r="O20" s="43">
        <v>0</v>
      </c>
      <c r="P20" s="44">
        <v>0</v>
      </c>
      <c r="Q20" s="43">
        <v>0</v>
      </c>
      <c r="R20" s="66"/>
      <c r="S20" s="67"/>
      <c r="T20" s="68">
        <v>150</v>
      </c>
      <c r="U20" s="69"/>
      <c r="V20" s="32"/>
    </row>
    <row r="21" spans="2:22" ht="27.75" customHeight="1" x14ac:dyDescent="0.2">
      <c r="B21" s="19" t="s">
        <v>54</v>
      </c>
      <c r="C21" s="20" t="s">
        <v>55</v>
      </c>
      <c r="D21" s="58"/>
      <c r="E21" s="49">
        <v>0</v>
      </c>
      <c r="F21" s="43">
        <v>1.5329999999999999</v>
      </c>
      <c r="G21" s="43">
        <v>1.2919999999999998</v>
      </c>
      <c r="H21" s="43">
        <v>0</v>
      </c>
      <c r="I21" s="43">
        <v>0</v>
      </c>
      <c r="J21" s="43">
        <v>0</v>
      </c>
      <c r="K21" s="43">
        <v>0.68200000000000005</v>
      </c>
      <c r="L21" s="43">
        <v>12.981000000000002</v>
      </c>
      <c r="M21" s="44">
        <v>16.219000000000001</v>
      </c>
      <c r="N21" s="43">
        <v>0</v>
      </c>
      <c r="O21" s="43">
        <v>0</v>
      </c>
      <c r="P21" s="44">
        <v>0</v>
      </c>
      <c r="Q21" s="43">
        <v>0</v>
      </c>
      <c r="R21" s="66" t="s">
        <v>50</v>
      </c>
      <c r="S21" s="67" t="s">
        <v>51</v>
      </c>
      <c r="T21" s="68">
        <v>1150</v>
      </c>
      <c r="U21" s="69"/>
    </row>
    <row r="22" spans="2:22" ht="27.75" customHeight="1" x14ac:dyDescent="0.2">
      <c r="B22" s="19" t="s">
        <v>56</v>
      </c>
      <c r="C22" s="20" t="s">
        <v>57</v>
      </c>
      <c r="D22" s="59"/>
      <c r="E22" s="49">
        <v>0</v>
      </c>
      <c r="F22" s="43">
        <v>1.244</v>
      </c>
      <c r="G22" s="43">
        <v>1.0150000000000001</v>
      </c>
      <c r="H22" s="43">
        <v>0</v>
      </c>
      <c r="I22" s="43">
        <v>0</v>
      </c>
      <c r="J22" s="43">
        <v>0</v>
      </c>
      <c r="K22" s="43">
        <v>0.66500000000000004</v>
      </c>
      <c r="L22" s="43">
        <v>12.09</v>
      </c>
      <c r="M22" s="44">
        <v>28.128</v>
      </c>
      <c r="N22" s="43">
        <v>0</v>
      </c>
      <c r="O22" s="43">
        <v>0</v>
      </c>
      <c r="P22" s="44">
        <v>0</v>
      </c>
      <c r="Q22" s="43">
        <v>0</v>
      </c>
      <c r="R22" s="66"/>
      <c r="S22" s="67"/>
      <c r="T22" s="68">
        <v>1150</v>
      </c>
      <c r="U22" s="69"/>
      <c r="V22" s="32"/>
    </row>
    <row r="23" spans="2:22" ht="27.75" customHeight="1" x14ac:dyDescent="0.2">
      <c r="B23" s="19" t="s">
        <v>58</v>
      </c>
      <c r="C23" s="20" t="s">
        <v>59</v>
      </c>
      <c r="D23" s="58"/>
      <c r="E23" s="49">
        <v>0</v>
      </c>
      <c r="F23" s="43">
        <v>0.95199999999999996</v>
      </c>
      <c r="G23" s="43">
        <v>0.755</v>
      </c>
      <c r="H23" s="43">
        <v>0</v>
      </c>
      <c r="I23" s="43">
        <v>0</v>
      </c>
      <c r="J23" s="43">
        <v>0</v>
      </c>
      <c r="K23" s="43">
        <v>0.30199999999999999</v>
      </c>
      <c r="L23" s="43">
        <v>4.3559999999999999</v>
      </c>
      <c r="M23" s="44">
        <v>5.4829999999999997</v>
      </c>
      <c r="N23" s="43">
        <v>0</v>
      </c>
      <c r="O23" s="43">
        <v>0</v>
      </c>
      <c r="P23" s="44">
        <v>0</v>
      </c>
      <c r="Q23" s="43">
        <v>0</v>
      </c>
      <c r="R23" s="66"/>
      <c r="S23" s="67"/>
      <c r="T23" s="68">
        <v>11100</v>
      </c>
      <c r="U23" s="69"/>
    </row>
    <row r="24" spans="2:22" ht="27.75" customHeight="1" x14ac:dyDescent="0.2">
      <c r="B24" s="19" t="s">
        <v>60</v>
      </c>
      <c r="C24" s="20" t="s">
        <v>61</v>
      </c>
      <c r="D24" s="58" t="s">
        <v>99</v>
      </c>
      <c r="E24" s="49">
        <v>6.3280000000000003</v>
      </c>
      <c r="F24" s="43">
        <v>18.565000000000001</v>
      </c>
      <c r="G24" s="43">
        <v>11.811</v>
      </c>
      <c r="H24" s="43">
        <v>0</v>
      </c>
      <c r="I24" s="43">
        <v>7.133</v>
      </c>
      <c r="J24" s="43">
        <v>5.6709999999999994</v>
      </c>
      <c r="K24" s="43">
        <v>2.9329999999999998</v>
      </c>
      <c r="L24" s="43">
        <v>0</v>
      </c>
      <c r="M24" s="44">
        <v>0</v>
      </c>
      <c r="N24" s="43">
        <v>0</v>
      </c>
      <c r="O24" s="43">
        <v>0</v>
      </c>
      <c r="P24" s="44">
        <v>0</v>
      </c>
      <c r="Q24" s="43">
        <v>0</v>
      </c>
      <c r="R24" s="66" t="s">
        <v>20</v>
      </c>
      <c r="S24" s="67" t="s">
        <v>21</v>
      </c>
      <c r="T24" s="68"/>
      <c r="U24" s="69"/>
    </row>
    <row r="25" spans="2:22" ht="27.75" customHeight="1" x14ac:dyDescent="0.2">
      <c r="B25" s="19" t="s">
        <v>62</v>
      </c>
      <c r="C25" s="20" t="s">
        <v>63</v>
      </c>
      <c r="D25" s="58" t="s">
        <v>99</v>
      </c>
      <c r="E25" s="49">
        <v>0</v>
      </c>
      <c r="F25" s="43">
        <v>11.587</v>
      </c>
      <c r="G25" s="43">
        <v>6.67</v>
      </c>
      <c r="H25" s="43">
        <v>0</v>
      </c>
      <c r="I25" s="43">
        <v>0</v>
      </c>
      <c r="J25" s="43">
        <v>0</v>
      </c>
      <c r="K25" s="43">
        <v>2.6680000000000001</v>
      </c>
      <c r="L25" s="43">
        <v>0</v>
      </c>
      <c r="M25" s="44">
        <v>46.027999999999999</v>
      </c>
      <c r="N25" s="43">
        <v>0</v>
      </c>
      <c r="O25" s="43">
        <v>0</v>
      </c>
      <c r="P25" s="44">
        <v>0</v>
      </c>
      <c r="Q25" s="43">
        <v>0</v>
      </c>
      <c r="R25" s="66" t="s">
        <v>20</v>
      </c>
      <c r="S25" s="67" t="s">
        <v>35</v>
      </c>
      <c r="T25" s="68"/>
      <c r="U25" s="69"/>
    </row>
    <row r="26" spans="2:22" ht="27.75" customHeight="1" x14ac:dyDescent="0.2">
      <c r="B26" s="19" t="s">
        <v>64</v>
      </c>
      <c r="C26" s="20" t="s">
        <v>65</v>
      </c>
      <c r="D26" s="58" t="s">
        <v>99</v>
      </c>
      <c r="E26" s="49">
        <v>6.5640000000000001</v>
      </c>
      <c r="F26" s="43">
        <v>21.652000000000001</v>
      </c>
      <c r="G26" s="43">
        <v>14.842000000000001</v>
      </c>
      <c r="H26" s="43">
        <v>0</v>
      </c>
      <c r="I26" s="43">
        <v>9.5</v>
      </c>
      <c r="J26" s="43">
        <v>8.2460000000000004</v>
      </c>
      <c r="K26" s="43">
        <v>4.0629999999999997</v>
      </c>
      <c r="L26" s="43">
        <v>0</v>
      </c>
      <c r="M26" s="44">
        <v>0</v>
      </c>
      <c r="N26" s="43">
        <v>0</v>
      </c>
      <c r="O26" s="43">
        <v>0</v>
      </c>
      <c r="P26" s="44">
        <v>0</v>
      </c>
      <c r="Q26" s="43">
        <v>0</v>
      </c>
      <c r="R26" s="66" t="s">
        <v>20</v>
      </c>
      <c r="S26" s="67" t="s">
        <v>21</v>
      </c>
      <c r="T26" s="68"/>
      <c r="U26" s="69"/>
    </row>
    <row r="27" spans="2:22" ht="27.75" customHeight="1" x14ac:dyDescent="0.2">
      <c r="B27" s="21" t="s">
        <v>66</v>
      </c>
      <c r="C27" s="22" t="s">
        <v>67</v>
      </c>
      <c r="D27" s="60" t="s">
        <v>99</v>
      </c>
      <c r="E27" s="40">
        <v>7.069</v>
      </c>
      <c r="F27" s="41">
        <v>20.678999999999998</v>
      </c>
      <c r="G27" s="41">
        <v>13.234999999999999</v>
      </c>
      <c r="H27" s="41">
        <v>0</v>
      </c>
      <c r="I27" s="41">
        <v>6.4829999999999997</v>
      </c>
      <c r="J27" s="41">
        <v>6.2590000000000003</v>
      </c>
      <c r="K27" s="41">
        <v>3.8849999999999998</v>
      </c>
      <c r="L27" s="41">
        <v>0</v>
      </c>
      <c r="M27" s="42">
        <v>0</v>
      </c>
      <c r="N27" s="41">
        <v>0</v>
      </c>
      <c r="O27" s="43">
        <v>0</v>
      </c>
      <c r="P27" s="44">
        <v>0</v>
      </c>
      <c r="Q27" s="43">
        <v>0</v>
      </c>
      <c r="R27" s="115" t="s">
        <v>68</v>
      </c>
      <c r="S27" s="116"/>
      <c r="T27" s="45"/>
      <c r="U27" s="46"/>
    </row>
    <row r="28" spans="2:22" ht="27.75" customHeight="1" x14ac:dyDescent="0.2">
      <c r="B28" s="37" t="s">
        <v>102</v>
      </c>
      <c r="C28" s="36" t="s">
        <v>104</v>
      </c>
      <c r="D28" s="60" t="s">
        <v>99</v>
      </c>
      <c r="E28" s="40">
        <v>0</v>
      </c>
      <c r="F28" s="41">
        <v>3.327</v>
      </c>
      <c r="G28" s="41">
        <v>3.327</v>
      </c>
      <c r="H28" s="41">
        <v>3.327</v>
      </c>
      <c r="I28" s="41">
        <v>3.327</v>
      </c>
      <c r="J28" s="41">
        <v>3.327</v>
      </c>
      <c r="K28" s="41">
        <v>3.327</v>
      </c>
      <c r="L28" s="41">
        <v>0</v>
      </c>
      <c r="M28" s="42">
        <v>0</v>
      </c>
      <c r="N28" s="41">
        <v>30.558</v>
      </c>
      <c r="O28" s="43">
        <v>13.397</v>
      </c>
      <c r="P28" s="44">
        <v>0</v>
      </c>
      <c r="Q28" s="43">
        <v>0</v>
      </c>
      <c r="R28" s="66" t="s">
        <v>20</v>
      </c>
      <c r="S28" s="67" t="s">
        <v>21</v>
      </c>
      <c r="T28" s="45"/>
      <c r="U28" s="73">
        <v>1.5</v>
      </c>
      <c r="V28" s="32"/>
    </row>
    <row r="29" spans="2:22" ht="27.75" customHeight="1" x14ac:dyDescent="0.2">
      <c r="B29" s="37" t="s">
        <v>103</v>
      </c>
      <c r="C29" s="36" t="s">
        <v>106</v>
      </c>
      <c r="D29" s="60" t="s">
        <v>99</v>
      </c>
      <c r="E29" s="40">
        <v>0</v>
      </c>
      <c r="F29" s="41">
        <v>4.3600000000000003</v>
      </c>
      <c r="G29" s="41">
        <v>4.3600000000000003</v>
      </c>
      <c r="H29" s="41">
        <v>4.3600000000000003</v>
      </c>
      <c r="I29" s="41">
        <v>4.3600000000000003</v>
      </c>
      <c r="J29" s="41">
        <v>4.3600000000000003</v>
      </c>
      <c r="K29" s="41">
        <v>4.3600000000000003</v>
      </c>
      <c r="L29" s="41">
        <v>0</v>
      </c>
      <c r="M29" s="42">
        <v>0</v>
      </c>
      <c r="N29" s="41">
        <v>36.061999999999998</v>
      </c>
      <c r="O29" s="43">
        <v>24.041999999999998</v>
      </c>
      <c r="P29" s="44">
        <v>0</v>
      </c>
      <c r="Q29" s="43">
        <v>0</v>
      </c>
      <c r="R29" s="66" t="s">
        <v>20</v>
      </c>
      <c r="S29" s="67" t="s">
        <v>35</v>
      </c>
      <c r="T29" s="45"/>
      <c r="U29" s="73">
        <v>1.5</v>
      </c>
      <c r="V29" s="32"/>
    </row>
    <row r="30" spans="2:22" ht="27.75" customHeight="1" thickBot="1" x14ac:dyDescent="0.25">
      <c r="B30" s="37" t="s">
        <v>105</v>
      </c>
      <c r="C30" s="36" t="s">
        <v>107</v>
      </c>
      <c r="D30" s="60" t="s">
        <v>99</v>
      </c>
      <c r="E30" s="40">
        <v>0</v>
      </c>
      <c r="F30" s="41">
        <v>6.6659999999999995</v>
      </c>
      <c r="G30" s="41">
        <v>6.6659999999999995</v>
      </c>
      <c r="H30" s="41">
        <v>6.6659999999999995</v>
      </c>
      <c r="I30" s="41">
        <v>6.6659999999999995</v>
      </c>
      <c r="J30" s="41">
        <v>6.6659999999999995</v>
      </c>
      <c r="K30" s="41">
        <v>6.6659999999999995</v>
      </c>
      <c r="L30" s="41">
        <v>0</v>
      </c>
      <c r="M30" s="42">
        <v>0</v>
      </c>
      <c r="N30" s="41">
        <v>22.337000000000003</v>
      </c>
      <c r="O30" s="43">
        <v>14.890999999999998</v>
      </c>
      <c r="P30" s="44">
        <v>0</v>
      </c>
      <c r="Q30" s="43">
        <v>0</v>
      </c>
      <c r="R30" s="66" t="s">
        <v>20</v>
      </c>
      <c r="S30" s="67" t="s">
        <v>98</v>
      </c>
      <c r="T30" s="68"/>
      <c r="U30" s="73">
        <v>1.5</v>
      </c>
    </row>
    <row r="31" spans="2:22" ht="15" customHeight="1" thickBot="1" x14ac:dyDescent="0.25">
      <c r="B31" s="18"/>
      <c r="C31" s="23"/>
      <c r="D31" s="6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74"/>
      <c r="S31" s="74"/>
      <c r="T31" s="74"/>
      <c r="U31" s="75"/>
    </row>
    <row r="32" spans="2:22" ht="15" customHeight="1" x14ac:dyDescent="0.2">
      <c r="B32" s="18"/>
      <c r="C32" s="23"/>
      <c r="D32" s="23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3"/>
      <c r="S32" s="23"/>
      <c r="T32" s="23"/>
      <c r="U32" s="25"/>
    </row>
    <row r="33" spans="1:21" ht="16.149999999999999" customHeight="1" x14ac:dyDescent="0.2">
      <c r="B33" s="38" t="s">
        <v>69</v>
      </c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7"/>
    </row>
    <row r="34" spans="1:21" ht="16.149999999999999" customHeight="1" x14ac:dyDescent="0.2">
      <c r="B34" s="38" t="s">
        <v>70</v>
      </c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7"/>
    </row>
    <row r="35" spans="1:21" ht="16.149999999999999" customHeight="1" x14ac:dyDescent="0.2">
      <c r="B35" s="39" t="s">
        <v>71</v>
      </c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7"/>
    </row>
    <row r="36" spans="1:21" ht="16.149999999999999" customHeight="1" x14ac:dyDescent="0.2">
      <c r="B36" s="39" t="s">
        <v>72</v>
      </c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7"/>
    </row>
    <row r="37" spans="1:21" ht="16.149999999999999" customHeight="1" x14ac:dyDescent="0.2">
      <c r="B37" s="38" t="s">
        <v>73</v>
      </c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7"/>
    </row>
    <row r="38" spans="1:21" ht="16.149999999999999" customHeight="1" x14ac:dyDescent="0.2">
      <c r="B38" s="56" t="s">
        <v>101</v>
      </c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7"/>
    </row>
    <row r="39" spans="1:21" ht="16.149999999999999" customHeight="1" x14ac:dyDescent="0.2">
      <c r="B39" s="56" t="s">
        <v>112</v>
      </c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7"/>
    </row>
    <row r="40" spans="1:21" ht="16.149999999999999" customHeight="1" x14ac:dyDescent="0.2">
      <c r="B40" s="56" t="s">
        <v>114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7"/>
    </row>
    <row r="41" spans="1:21" ht="15" customHeight="1" thickBot="1" x14ac:dyDescent="0.25">
      <c r="B41" s="28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30"/>
    </row>
    <row r="42" spans="1:21" x14ac:dyDescent="0.2"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31"/>
      <c r="O42" s="31"/>
      <c r="P42" s="26"/>
      <c r="Q42" s="26"/>
      <c r="R42" s="26"/>
      <c r="S42" s="26"/>
      <c r="T42" s="26"/>
      <c r="U42" s="26"/>
    </row>
    <row r="43" spans="1:21" x14ac:dyDescent="0.2">
      <c r="B43" s="26"/>
      <c r="C43" s="26"/>
      <c r="S43" s="26"/>
      <c r="T43" s="26"/>
      <c r="U43" s="26"/>
    </row>
    <row r="44" spans="1:21" x14ac:dyDescent="0.2">
      <c r="A44"/>
    </row>
    <row r="45" spans="1:21" x14ac:dyDescent="0.2">
      <c r="A45"/>
    </row>
    <row r="46" spans="1:21" x14ac:dyDescent="0.2">
      <c r="A46"/>
    </row>
    <row r="47" spans="1:21" x14ac:dyDescent="0.2">
      <c r="A47"/>
    </row>
    <row r="48" spans="1:21" x14ac:dyDescent="0.2">
      <c r="A48"/>
    </row>
    <row r="49" spans="1:1" x14ac:dyDescent="0.2">
      <c r="A49"/>
    </row>
    <row r="50" spans="1:1" x14ac:dyDescent="0.2">
      <c r="A50"/>
    </row>
    <row r="51" spans="1:1" x14ac:dyDescent="0.2">
      <c r="A51"/>
    </row>
    <row r="52" spans="1:1" x14ac:dyDescent="0.2">
      <c r="A52"/>
    </row>
    <row r="53" spans="1:1" x14ac:dyDescent="0.2">
      <c r="A53"/>
    </row>
    <row r="54" spans="1:1" x14ac:dyDescent="0.2">
      <c r="A54"/>
    </row>
    <row r="55" spans="1:1" x14ac:dyDescent="0.2">
      <c r="A55"/>
    </row>
    <row r="56" spans="1:1" x14ac:dyDescent="0.2">
      <c r="A56"/>
    </row>
    <row r="57" spans="1:1" x14ac:dyDescent="0.2">
      <c r="A57"/>
    </row>
    <row r="58" spans="1:1" x14ac:dyDescent="0.2">
      <c r="A58"/>
    </row>
    <row r="59" spans="1:1" x14ac:dyDescent="0.2">
      <c r="A59"/>
    </row>
    <row r="60" spans="1:1" x14ac:dyDescent="0.2">
      <c r="A60"/>
    </row>
    <row r="61" spans="1:1" x14ac:dyDescent="0.2">
      <c r="A61"/>
    </row>
    <row r="62" spans="1:1" x14ac:dyDescent="0.2">
      <c r="A62"/>
    </row>
    <row r="63" spans="1:1" x14ac:dyDescent="0.2">
      <c r="A63"/>
    </row>
    <row r="64" spans="1:1" x14ac:dyDescent="0.2">
      <c r="A64"/>
    </row>
    <row r="65" spans="1:1" x14ac:dyDescent="0.2">
      <c r="A65"/>
    </row>
    <row r="66" spans="1:1" x14ac:dyDescent="0.2">
      <c r="A66"/>
    </row>
    <row r="67" spans="1:1" x14ac:dyDescent="0.2">
      <c r="A67"/>
    </row>
    <row r="68" spans="1:1" x14ac:dyDescent="0.2">
      <c r="A68"/>
    </row>
    <row r="69" spans="1:1" x14ac:dyDescent="0.2">
      <c r="A69"/>
    </row>
    <row r="70" spans="1:1" x14ac:dyDescent="0.2">
      <c r="A70"/>
    </row>
    <row r="71" spans="1:1" x14ac:dyDescent="0.2">
      <c r="A71"/>
    </row>
    <row r="72" spans="1:1" x14ac:dyDescent="0.2">
      <c r="A72"/>
    </row>
    <row r="73" spans="1:1" x14ac:dyDescent="0.2">
      <c r="A73"/>
    </row>
    <row r="74" spans="1:1" x14ac:dyDescent="0.2">
      <c r="A74"/>
    </row>
    <row r="75" spans="1:1" x14ac:dyDescent="0.2">
      <c r="A75"/>
    </row>
    <row r="76" spans="1:1" x14ac:dyDescent="0.2">
      <c r="A76"/>
    </row>
    <row r="77" spans="1:1" x14ac:dyDescent="0.2">
      <c r="A77"/>
    </row>
    <row r="78" spans="1:1" x14ac:dyDescent="0.2">
      <c r="A78"/>
    </row>
    <row r="79" spans="1:1" x14ac:dyDescent="0.2">
      <c r="A79"/>
    </row>
    <row r="80" spans="1:1" x14ac:dyDescent="0.2">
      <c r="A80"/>
    </row>
    <row r="81" spans="1:1" x14ac:dyDescent="0.2">
      <c r="A81"/>
    </row>
    <row r="82" spans="1:1" x14ac:dyDescent="0.2">
      <c r="A82"/>
    </row>
    <row r="83" spans="1:1" x14ac:dyDescent="0.2">
      <c r="A83"/>
    </row>
    <row r="84" spans="1:1" x14ac:dyDescent="0.2">
      <c r="A84"/>
    </row>
    <row r="85" spans="1:1" x14ac:dyDescent="0.2">
      <c r="A85"/>
    </row>
    <row r="86" spans="1:1" x14ac:dyDescent="0.2">
      <c r="A86"/>
    </row>
    <row r="87" spans="1:1" x14ac:dyDescent="0.2">
      <c r="A87"/>
    </row>
    <row r="88" spans="1:1" x14ac:dyDescent="0.2">
      <c r="A88"/>
    </row>
    <row r="89" spans="1:1" x14ac:dyDescent="0.2">
      <c r="A89"/>
    </row>
    <row r="90" spans="1:1" x14ac:dyDescent="0.2">
      <c r="A90"/>
    </row>
    <row r="91" spans="1:1" x14ac:dyDescent="0.2">
      <c r="A91"/>
    </row>
    <row r="92" spans="1:1" x14ac:dyDescent="0.2">
      <c r="A92"/>
    </row>
    <row r="93" spans="1:1" x14ac:dyDescent="0.2">
      <c r="A93"/>
    </row>
    <row r="94" spans="1:1" x14ac:dyDescent="0.2">
      <c r="A94"/>
    </row>
    <row r="95" spans="1:1" x14ac:dyDescent="0.2">
      <c r="A95"/>
    </row>
  </sheetData>
  <mergeCells count="4">
    <mergeCell ref="B2:T2"/>
    <mergeCell ref="E4:Q4"/>
    <mergeCell ref="R4:S4"/>
    <mergeCell ref="R27:S27"/>
  </mergeCells>
  <pageMargins left="0.74803149606299213" right="0.74803149606299213" top="0.39370078740157483" bottom="0.11811023622047245" header="0.11811023622047245" footer="0.11811023622047245"/>
  <pageSetup paperSize="9" scale="3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V95"/>
  <sheetViews>
    <sheetView showGridLines="0" showZeros="0" zoomScale="60" zoomScaleNormal="60" workbookViewId="0">
      <selection activeCell="L22" sqref="L22"/>
    </sheetView>
  </sheetViews>
  <sheetFormatPr defaultRowHeight="12.75" x14ac:dyDescent="0.2"/>
  <cols>
    <col min="1" max="1" width="4.7109375" style="52" customWidth="1"/>
    <col min="2" max="2" width="27.7109375" customWidth="1"/>
    <col min="3" max="3" width="21.85546875" customWidth="1"/>
    <col min="4" max="4" width="10.42578125" customWidth="1"/>
    <col min="5" max="6" width="11.140625" customWidth="1"/>
    <col min="7" max="7" width="13.5703125" customWidth="1"/>
    <col min="8" max="11" width="11.140625" customWidth="1"/>
    <col min="12" max="13" width="13.28515625" customWidth="1"/>
    <col min="14" max="17" width="12.28515625" customWidth="1"/>
    <col min="18" max="19" width="11.7109375" customWidth="1"/>
    <col min="20" max="21" width="14.28515625" customWidth="1"/>
    <col min="22" max="22" width="9.5703125" customWidth="1"/>
  </cols>
  <sheetData>
    <row r="1" spans="1:21" ht="12.75" customHeight="1" thickBot="1" x14ac:dyDescent="0.25"/>
    <row r="2" spans="1:21" s="2" customFormat="1" ht="18" x14ac:dyDescent="0.25">
      <c r="A2" s="53"/>
      <c r="B2" s="108" t="s">
        <v>90</v>
      </c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"/>
    </row>
    <row r="3" spans="1:21" s="2" customFormat="1" ht="18.75" thickBot="1" x14ac:dyDescent="0.3">
      <c r="A3" s="53"/>
      <c r="B3" s="33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5"/>
    </row>
    <row r="4" spans="1:21" s="6" customFormat="1" ht="63" customHeight="1" thickBot="1" x14ac:dyDescent="0.25">
      <c r="B4" s="3"/>
      <c r="C4" s="4"/>
      <c r="D4" s="4"/>
      <c r="E4" s="110" t="s">
        <v>0</v>
      </c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2"/>
      <c r="R4" s="113" t="s">
        <v>1</v>
      </c>
      <c r="S4" s="114"/>
      <c r="T4" s="5" t="s">
        <v>2</v>
      </c>
      <c r="U4" s="5" t="s">
        <v>3</v>
      </c>
    </row>
    <row r="5" spans="1:21" s="6" customFormat="1" ht="99" customHeight="1" thickBot="1" x14ac:dyDescent="0.25">
      <c r="B5" s="7" t="s">
        <v>4</v>
      </c>
      <c r="C5" s="8" t="s">
        <v>5</v>
      </c>
      <c r="D5" s="9" t="s">
        <v>6</v>
      </c>
      <c r="E5" s="10" t="s">
        <v>7</v>
      </c>
      <c r="F5" s="11" t="s">
        <v>8</v>
      </c>
      <c r="G5" s="11" t="s">
        <v>9</v>
      </c>
      <c r="H5" s="11" t="s">
        <v>10</v>
      </c>
      <c r="I5" s="11" t="s">
        <v>11</v>
      </c>
      <c r="J5" s="11" t="s">
        <v>12</v>
      </c>
      <c r="K5" s="11" t="s">
        <v>13</v>
      </c>
      <c r="L5" s="11" t="s">
        <v>14</v>
      </c>
      <c r="M5" s="12" t="s">
        <v>15</v>
      </c>
      <c r="N5" s="12" t="s">
        <v>77</v>
      </c>
      <c r="O5" s="12" t="s">
        <v>76</v>
      </c>
      <c r="P5" s="12" t="s">
        <v>74</v>
      </c>
      <c r="Q5" s="12" t="s">
        <v>75</v>
      </c>
      <c r="R5" s="13" t="s">
        <v>16</v>
      </c>
      <c r="S5" s="14" t="s">
        <v>17</v>
      </c>
      <c r="T5" s="15" t="s">
        <v>16</v>
      </c>
      <c r="U5" s="16" t="s">
        <v>78</v>
      </c>
    </row>
    <row r="6" spans="1:21" ht="27.75" customHeight="1" x14ac:dyDescent="0.2">
      <c r="A6" s="54"/>
      <c r="B6" s="17" t="s">
        <v>18</v>
      </c>
      <c r="C6" s="18" t="s">
        <v>19</v>
      </c>
      <c r="D6" s="57" t="s">
        <v>99</v>
      </c>
      <c r="E6" s="49">
        <f>'2017 DUOS Ex GST'!E6*1.1</f>
        <v>7.3172000000000006</v>
      </c>
      <c r="F6" s="43">
        <f>'2017 DUOS Ex GST'!F6*1.1</f>
        <v>9.0222000000000016</v>
      </c>
      <c r="G6" s="43">
        <f>'2017 DUOS Ex GST'!G6*1.1</f>
        <v>5.8080000000000007</v>
      </c>
      <c r="H6" s="43">
        <f>'2017 DUOS Ex GST'!H6*1.1</f>
        <v>0</v>
      </c>
      <c r="I6" s="43">
        <f>'2017 DUOS Ex GST'!I6*1.1</f>
        <v>0</v>
      </c>
      <c r="J6" s="43">
        <f>'2017 DUOS Ex GST'!J6*1.1</f>
        <v>0</v>
      </c>
      <c r="K6" s="43">
        <f>'2017 DUOS Ex GST'!K6*1.1</f>
        <v>0</v>
      </c>
      <c r="L6" s="43">
        <f>'2017 DUOS Ex GST'!L6*1.1</f>
        <v>0</v>
      </c>
      <c r="M6" s="43">
        <f>'2017 DUOS Ex GST'!M6*1.1</f>
        <v>0</v>
      </c>
      <c r="N6" s="43">
        <f>'2017 DUOS Ex GST'!N6*1.1</f>
        <v>0</v>
      </c>
      <c r="O6" s="43">
        <f>'2017 DUOS Ex GST'!O6*1.1</f>
        <v>0</v>
      </c>
      <c r="P6" s="50">
        <f>'2017 DUOS Ex GST'!P6*1.1</f>
        <v>0</v>
      </c>
      <c r="Q6" s="50">
        <f>'2017 DUOS Ex GST'!Q6*1.1</f>
        <v>0</v>
      </c>
      <c r="R6" s="62" t="s">
        <v>20</v>
      </c>
      <c r="S6" s="63" t="s">
        <v>21</v>
      </c>
      <c r="T6" s="64"/>
      <c r="U6" s="65"/>
    </row>
    <row r="7" spans="1:21" ht="27.75" customHeight="1" x14ac:dyDescent="0.2">
      <c r="A7" s="54"/>
      <c r="B7" s="19" t="s">
        <v>22</v>
      </c>
      <c r="C7" s="20" t="s">
        <v>23</v>
      </c>
      <c r="D7" s="58"/>
      <c r="E7" s="49">
        <f>'2017 DUOS Ex GST'!E7*1.1</f>
        <v>14.944600000000001</v>
      </c>
      <c r="F7" s="43">
        <f>'2017 DUOS Ex GST'!F7*1.1</f>
        <v>10.726100000000001</v>
      </c>
      <c r="G7" s="43">
        <f>'2017 DUOS Ex GST'!G7*1.1</f>
        <v>8.1356000000000002</v>
      </c>
      <c r="H7" s="43">
        <f>'2017 DUOS Ex GST'!H7*1.1</f>
        <v>0</v>
      </c>
      <c r="I7" s="43">
        <f>'2017 DUOS Ex GST'!I7*1.1</f>
        <v>0</v>
      </c>
      <c r="J7" s="43">
        <f>'2017 DUOS Ex GST'!J7*1.1</f>
        <v>0</v>
      </c>
      <c r="K7" s="43">
        <f>'2017 DUOS Ex GST'!K7*1.1</f>
        <v>1.8601000000000003</v>
      </c>
      <c r="L7" s="43">
        <f>'2017 DUOS Ex GST'!L7*1.1</f>
        <v>0</v>
      </c>
      <c r="M7" s="44">
        <f>'2017 DUOS Ex GST'!M7*1.1</f>
        <v>0</v>
      </c>
      <c r="N7" s="43">
        <f>'2017 DUOS Ex GST'!N7*1.1</f>
        <v>0</v>
      </c>
      <c r="O7" s="43">
        <f>'2017 DUOS Ex GST'!O7*1.1</f>
        <v>0</v>
      </c>
      <c r="P7" s="44">
        <f>'2017 DUOS Ex GST'!P7*1.1</f>
        <v>0</v>
      </c>
      <c r="Q7" s="43">
        <f>'2017 DUOS Ex GST'!Q7*1.1</f>
        <v>0</v>
      </c>
      <c r="R7" s="66"/>
      <c r="S7" s="67"/>
      <c r="T7" s="68"/>
      <c r="U7" s="69"/>
    </row>
    <row r="8" spans="1:21" ht="27.75" customHeight="1" x14ac:dyDescent="0.2">
      <c r="A8" s="54"/>
      <c r="B8" s="19" t="s">
        <v>24</v>
      </c>
      <c r="C8" s="20" t="s">
        <v>25</v>
      </c>
      <c r="D8" s="58"/>
      <c r="E8" s="49">
        <f>'2017 DUOS Ex GST'!E8*1.1</f>
        <v>0</v>
      </c>
      <c r="F8" s="43">
        <f>'2017 DUOS Ex GST'!F8*1.1</f>
        <v>0</v>
      </c>
      <c r="G8" s="43">
        <f>'2017 DUOS Ex GST'!G8*1.1</f>
        <v>0</v>
      </c>
      <c r="H8" s="43">
        <f>'2017 DUOS Ex GST'!H8*1.1</f>
        <v>0</v>
      </c>
      <c r="I8" s="43">
        <f>'2017 DUOS Ex GST'!I8*1.1</f>
        <v>0</v>
      </c>
      <c r="J8" s="43">
        <f>'2017 DUOS Ex GST'!J8*1.1</f>
        <v>0</v>
      </c>
      <c r="K8" s="43">
        <f>'2017 DUOS Ex GST'!K8*1.1</f>
        <v>2.0581</v>
      </c>
      <c r="L8" s="43">
        <f>'2017 DUOS Ex GST'!L8*1.1</f>
        <v>0</v>
      </c>
      <c r="M8" s="44">
        <f>'2017 DUOS Ex GST'!M8*1.1</f>
        <v>0</v>
      </c>
      <c r="N8" s="43">
        <f>'2017 DUOS Ex GST'!N8*1.1</f>
        <v>0</v>
      </c>
      <c r="O8" s="43">
        <f>'2017 DUOS Ex GST'!O8*1.1</f>
        <v>0</v>
      </c>
      <c r="P8" s="44">
        <f>'2017 DUOS Ex GST'!P8*1.1</f>
        <v>0</v>
      </c>
      <c r="Q8" s="43">
        <f>'2017 DUOS Ex GST'!Q8*1.1</f>
        <v>0</v>
      </c>
      <c r="R8" s="66" t="s">
        <v>20</v>
      </c>
      <c r="S8" s="70" t="s">
        <v>26</v>
      </c>
      <c r="T8" s="71"/>
      <c r="U8" s="72"/>
    </row>
    <row r="9" spans="1:21" ht="27.75" customHeight="1" x14ac:dyDescent="0.2">
      <c r="A9" s="54"/>
      <c r="B9" s="19" t="s">
        <v>27</v>
      </c>
      <c r="C9" s="20" t="s">
        <v>28</v>
      </c>
      <c r="D9" s="58"/>
      <c r="E9" s="49">
        <f>'2017 DUOS Ex GST'!E9*1.1</f>
        <v>0</v>
      </c>
      <c r="F9" s="43">
        <f>'2017 DUOS Ex GST'!F9*1.1</f>
        <v>9.0167000000000002</v>
      </c>
      <c r="G9" s="43">
        <f>'2017 DUOS Ex GST'!G9*1.1</f>
        <v>6.595600000000001</v>
      </c>
      <c r="H9" s="43">
        <f>'2017 DUOS Ex GST'!H9*1.1</f>
        <v>0</v>
      </c>
      <c r="I9" s="43">
        <f>'2017 DUOS Ex GST'!I9*1.1</f>
        <v>0</v>
      </c>
      <c r="J9" s="43">
        <f>'2017 DUOS Ex GST'!J9*1.1</f>
        <v>0</v>
      </c>
      <c r="K9" s="43">
        <f>'2017 DUOS Ex GST'!K9*1.1</f>
        <v>1.6258000000000001</v>
      </c>
      <c r="L9" s="43">
        <f>'2017 DUOS Ex GST'!L9*1.1</f>
        <v>0</v>
      </c>
      <c r="M9" s="44">
        <f>'2017 DUOS Ex GST'!M9*1.1</f>
        <v>0</v>
      </c>
      <c r="N9" s="43">
        <f>'2017 DUOS Ex GST'!N9*1.1</f>
        <v>0</v>
      </c>
      <c r="O9" s="43">
        <f>'2017 DUOS Ex GST'!O9*1.1</f>
        <v>0</v>
      </c>
      <c r="P9" s="44">
        <f>'2017 DUOS Ex GST'!P9*1.1</f>
        <v>0</v>
      </c>
      <c r="Q9" s="43">
        <f>'2017 DUOS Ex GST'!Q9*1.1</f>
        <v>0</v>
      </c>
      <c r="R9" s="66"/>
      <c r="S9" s="67"/>
      <c r="T9" s="71"/>
      <c r="U9" s="72"/>
    </row>
    <row r="10" spans="1:21" ht="27.75" customHeight="1" x14ac:dyDescent="0.2">
      <c r="A10" s="54"/>
      <c r="B10" s="19" t="s">
        <v>29</v>
      </c>
      <c r="C10" s="20" t="s">
        <v>30</v>
      </c>
      <c r="D10" s="58"/>
      <c r="E10" s="49">
        <f>'2017 DUOS Ex GST'!E10*1.1</f>
        <v>9.4237000000000002</v>
      </c>
      <c r="F10" s="43">
        <f>'2017 DUOS Ex GST'!F10*1.1</f>
        <v>7.0279000000000007</v>
      </c>
      <c r="G10" s="43">
        <f>'2017 DUOS Ex GST'!G10*1.1</f>
        <v>5.2074000000000007</v>
      </c>
      <c r="H10" s="43">
        <f>'2017 DUOS Ex GST'!H10*1.1</f>
        <v>1.9514000000000002</v>
      </c>
      <c r="I10" s="43">
        <f>'2017 DUOS Ex GST'!I10*1.1</f>
        <v>0</v>
      </c>
      <c r="J10" s="43">
        <f>'2017 DUOS Ex GST'!J10*1.1</f>
        <v>0</v>
      </c>
      <c r="K10" s="43">
        <f>'2017 DUOS Ex GST'!K10*1.1</f>
        <v>0</v>
      </c>
      <c r="L10" s="43">
        <f>'2017 DUOS Ex GST'!L10*1.1</f>
        <v>0</v>
      </c>
      <c r="M10" s="44">
        <f>'2017 DUOS Ex GST'!M10*1.1</f>
        <v>0</v>
      </c>
      <c r="N10" s="43">
        <f>'2017 DUOS Ex GST'!N10*1.1</f>
        <v>0</v>
      </c>
      <c r="O10" s="43">
        <f>'2017 DUOS Ex GST'!O10*1.1</f>
        <v>0</v>
      </c>
      <c r="P10" s="44">
        <f>'2017 DUOS Ex GST'!P10*1.1</f>
        <v>0</v>
      </c>
      <c r="Q10" s="43">
        <f>'2017 DUOS Ex GST'!Q10*1.1</f>
        <v>0</v>
      </c>
      <c r="R10" s="66"/>
      <c r="S10" s="67"/>
      <c r="T10" s="68"/>
      <c r="U10" s="69"/>
    </row>
    <row r="11" spans="1:21" ht="27.75" customHeight="1" x14ac:dyDescent="0.2">
      <c r="A11" s="54"/>
      <c r="B11" s="19" t="s">
        <v>31</v>
      </c>
      <c r="C11" s="20" t="s">
        <v>32</v>
      </c>
      <c r="D11" s="58"/>
      <c r="E11" s="49">
        <f>'2017 DUOS Ex GST'!E11*1.1</f>
        <v>0</v>
      </c>
      <c r="F11" s="43">
        <f>'2017 DUOS Ex GST'!F11*1.1</f>
        <v>6.1083000000000007</v>
      </c>
      <c r="G11" s="43">
        <f>'2017 DUOS Ex GST'!G11*1.1</f>
        <v>1.5356000000000001</v>
      </c>
      <c r="H11" s="43">
        <f>'2017 DUOS Ex GST'!H11*1.1</f>
        <v>0</v>
      </c>
      <c r="I11" s="43">
        <f>'2017 DUOS Ex GST'!I11*1.1</f>
        <v>0</v>
      </c>
      <c r="J11" s="43">
        <f>'2017 DUOS Ex GST'!J11*1.1</f>
        <v>0</v>
      </c>
      <c r="K11" s="43">
        <f>'2017 DUOS Ex GST'!K11*1.1</f>
        <v>1.5081000000000002</v>
      </c>
      <c r="L11" s="43">
        <f>'2017 DUOS Ex GST'!L11*1.1</f>
        <v>0</v>
      </c>
      <c r="M11" s="44">
        <f>'2017 DUOS Ex GST'!M11*1.1</f>
        <v>76.743700000000004</v>
      </c>
      <c r="N11" s="43">
        <f>'2017 DUOS Ex GST'!N11*1.1</f>
        <v>0</v>
      </c>
      <c r="O11" s="43">
        <f>'2017 DUOS Ex GST'!O11*1.1</f>
        <v>0</v>
      </c>
      <c r="P11" s="44">
        <f>'2017 DUOS Ex GST'!P11*1.1</f>
        <v>0</v>
      </c>
      <c r="Q11" s="43">
        <f>'2017 DUOS Ex GST'!Q11*1.1</f>
        <v>0</v>
      </c>
      <c r="R11" s="66"/>
      <c r="S11" s="67"/>
      <c r="T11" s="68"/>
      <c r="U11" s="69"/>
    </row>
    <row r="12" spans="1:21" ht="27.75" customHeight="1" x14ac:dyDescent="0.2">
      <c r="A12" s="54"/>
      <c r="B12" s="19" t="s">
        <v>33</v>
      </c>
      <c r="C12" s="20" t="s">
        <v>34</v>
      </c>
      <c r="D12" s="58" t="s">
        <v>99</v>
      </c>
      <c r="E12" s="49">
        <f>'2017 DUOS Ex GST'!E12*1.1</f>
        <v>12.085700000000001</v>
      </c>
      <c r="F12" s="43">
        <f>'2017 DUOS Ex GST'!F12*1.1</f>
        <v>10.6227</v>
      </c>
      <c r="G12" s="43">
        <f>'2017 DUOS Ex GST'!G12*1.1</f>
        <v>6.6286000000000005</v>
      </c>
      <c r="H12" s="43">
        <f>'2017 DUOS Ex GST'!H12*1.1</f>
        <v>0</v>
      </c>
      <c r="I12" s="43">
        <f>'2017 DUOS Ex GST'!I12*1.1</f>
        <v>0</v>
      </c>
      <c r="J12" s="43">
        <f>'2017 DUOS Ex GST'!J12*1.1</f>
        <v>0</v>
      </c>
      <c r="K12" s="43">
        <f>'2017 DUOS Ex GST'!K12*1.1</f>
        <v>0</v>
      </c>
      <c r="L12" s="43">
        <f>'2017 DUOS Ex GST'!L12*1.1</f>
        <v>0</v>
      </c>
      <c r="M12" s="44">
        <f>'2017 DUOS Ex GST'!M12*1.1</f>
        <v>0</v>
      </c>
      <c r="N12" s="43">
        <f>'2017 DUOS Ex GST'!N12*1.1</f>
        <v>0</v>
      </c>
      <c r="O12" s="43">
        <f>'2017 DUOS Ex GST'!O12*1.1</f>
        <v>0</v>
      </c>
      <c r="P12" s="44">
        <f>'2017 DUOS Ex GST'!P12*1.1</f>
        <v>0</v>
      </c>
      <c r="Q12" s="43">
        <f>'2017 DUOS Ex GST'!Q12*1.1</f>
        <v>0</v>
      </c>
      <c r="R12" s="66" t="s">
        <v>20</v>
      </c>
      <c r="S12" s="67" t="s">
        <v>35</v>
      </c>
      <c r="T12" s="68"/>
      <c r="U12" s="69"/>
    </row>
    <row r="13" spans="1:21" ht="27.75" customHeight="1" x14ac:dyDescent="0.2">
      <c r="A13" s="54"/>
      <c r="B13" s="19" t="s">
        <v>36</v>
      </c>
      <c r="C13" s="20" t="s">
        <v>37</v>
      </c>
      <c r="D13" s="58"/>
      <c r="E13" s="49">
        <f>'2017 DUOS Ex GST'!E13*1.1</f>
        <v>23.133000000000003</v>
      </c>
      <c r="F13" s="43">
        <f>'2017 DUOS Ex GST'!F13*1.1</f>
        <v>11.2332</v>
      </c>
      <c r="G13" s="43">
        <f>'2017 DUOS Ex GST'!G13*1.1</f>
        <v>8.4183000000000003</v>
      </c>
      <c r="H13" s="43">
        <f>'2017 DUOS Ex GST'!H13*1.1</f>
        <v>0</v>
      </c>
      <c r="I13" s="43">
        <f>'2017 DUOS Ex GST'!I13*1.1</f>
        <v>0</v>
      </c>
      <c r="J13" s="43">
        <f>'2017 DUOS Ex GST'!J13*1.1</f>
        <v>0</v>
      </c>
      <c r="K13" s="43">
        <f>'2017 DUOS Ex GST'!K13*1.1</f>
        <v>2.0977000000000001</v>
      </c>
      <c r="L13" s="43">
        <f>'2017 DUOS Ex GST'!L13*1.1</f>
        <v>0</v>
      </c>
      <c r="M13" s="44">
        <f>'2017 DUOS Ex GST'!M13*1.1</f>
        <v>0</v>
      </c>
      <c r="N13" s="43">
        <f>'2017 DUOS Ex GST'!N13*1.1</f>
        <v>0</v>
      </c>
      <c r="O13" s="43">
        <f>'2017 DUOS Ex GST'!O13*1.1</f>
        <v>0</v>
      </c>
      <c r="P13" s="44">
        <f>'2017 DUOS Ex GST'!P13*1.1</f>
        <v>0</v>
      </c>
      <c r="Q13" s="43">
        <f>'2017 DUOS Ex GST'!Q13*1.1</f>
        <v>0</v>
      </c>
      <c r="R13" s="66"/>
      <c r="S13" s="67"/>
      <c r="T13" s="68"/>
      <c r="U13" s="69"/>
    </row>
    <row r="14" spans="1:21" ht="27.75" customHeight="1" x14ac:dyDescent="0.2">
      <c r="A14" s="54"/>
      <c r="B14" s="19" t="s">
        <v>38</v>
      </c>
      <c r="C14" s="20" t="s">
        <v>39</v>
      </c>
      <c r="D14" s="58"/>
      <c r="E14" s="49">
        <f>'2017 DUOS Ex GST'!E14*1.1</f>
        <v>24.625700000000002</v>
      </c>
      <c r="F14" s="43">
        <f>'2017 DUOS Ex GST'!F14*1.1</f>
        <v>10.690900000000001</v>
      </c>
      <c r="G14" s="43">
        <f>'2017 DUOS Ex GST'!G14*1.1</f>
        <v>8.2786000000000008</v>
      </c>
      <c r="H14" s="43">
        <f>'2017 DUOS Ex GST'!H14*1.1</f>
        <v>0</v>
      </c>
      <c r="I14" s="43">
        <f>'2017 DUOS Ex GST'!I14*1.1</f>
        <v>0</v>
      </c>
      <c r="J14" s="43">
        <f>'2017 DUOS Ex GST'!J14*1.1</f>
        <v>0</v>
      </c>
      <c r="K14" s="43">
        <f>'2017 DUOS Ex GST'!K14*1.1</f>
        <v>1.9503000000000001</v>
      </c>
      <c r="L14" s="43">
        <f>'2017 DUOS Ex GST'!L14*1.1</f>
        <v>0</v>
      </c>
      <c r="M14" s="44">
        <f>'2017 DUOS Ex GST'!M14*1.1</f>
        <v>0</v>
      </c>
      <c r="N14" s="43">
        <f>'2017 DUOS Ex GST'!N14*1.1</f>
        <v>0</v>
      </c>
      <c r="O14" s="43">
        <f>'2017 DUOS Ex GST'!O14*1.1</f>
        <v>0</v>
      </c>
      <c r="P14" s="44">
        <f>'2017 DUOS Ex GST'!P14*1.1</f>
        <v>0</v>
      </c>
      <c r="Q14" s="43">
        <f>'2017 DUOS Ex GST'!Q14*1.1</f>
        <v>0</v>
      </c>
      <c r="R14" s="66"/>
      <c r="S14" s="67"/>
      <c r="T14" s="68"/>
      <c r="U14" s="69"/>
    </row>
    <row r="15" spans="1:21" ht="27.75" customHeight="1" x14ac:dyDescent="0.2">
      <c r="A15" s="54"/>
      <c r="B15" s="19" t="s">
        <v>40</v>
      </c>
      <c r="C15" s="20" t="s">
        <v>41</v>
      </c>
      <c r="D15" s="58"/>
      <c r="E15" s="49">
        <f>'2017 DUOS Ex GST'!E15*1.1</f>
        <v>0</v>
      </c>
      <c r="F15" s="43">
        <f>'2017 DUOS Ex GST'!F15*1.1</f>
        <v>9.2444000000000006</v>
      </c>
      <c r="G15" s="43">
        <f>'2017 DUOS Ex GST'!G15*1.1</f>
        <v>5.4164000000000012</v>
      </c>
      <c r="H15" s="43">
        <f>'2017 DUOS Ex GST'!H15*1.1</f>
        <v>0</v>
      </c>
      <c r="I15" s="43">
        <f>'2017 DUOS Ex GST'!I15*1.1</f>
        <v>0</v>
      </c>
      <c r="J15" s="43">
        <f>'2017 DUOS Ex GST'!J15*1.1</f>
        <v>0</v>
      </c>
      <c r="K15" s="43">
        <f>'2017 DUOS Ex GST'!K15*1.1</f>
        <v>2.1527000000000003</v>
      </c>
      <c r="L15" s="43">
        <f>'2017 DUOS Ex GST'!L15*1.1</f>
        <v>0</v>
      </c>
      <c r="M15" s="44">
        <f>'2017 DUOS Ex GST'!M15*1.1</f>
        <v>44.269500000000001</v>
      </c>
      <c r="N15" s="43">
        <f>'2017 DUOS Ex GST'!N15*1.1</f>
        <v>0</v>
      </c>
      <c r="O15" s="43">
        <f>'2017 DUOS Ex GST'!O15*1.1</f>
        <v>0</v>
      </c>
      <c r="P15" s="44">
        <f>'2017 DUOS Ex GST'!P15*1.1</f>
        <v>0</v>
      </c>
      <c r="Q15" s="43">
        <f>'2017 DUOS Ex GST'!Q15*1.1</f>
        <v>0</v>
      </c>
      <c r="R15" s="66"/>
      <c r="S15" s="67"/>
      <c r="T15" s="68"/>
      <c r="U15" s="69"/>
    </row>
    <row r="16" spans="1:21" ht="27.75" customHeight="1" x14ac:dyDescent="0.2">
      <c r="A16" s="54"/>
      <c r="B16" s="19" t="s">
        <v>42</v>
      </c>
      <c r="C16" s="20" t="s">
        <v>43</v>
      </c>
      <c r="D16" s="58"/>
      <c r="E16" s="49">
        <f>'2017 DUOS Ex GST'!E16*1.1</f>
        <v>0</v>
      </c>
      <c r="F16" s="43">
        <f>'2017 DUOS Ex GST'!F16*1.1</f>
        <v>8.0487000000000002</v>
      </c>
      <c r="G16" s="43">
        <f>'2017 DUOS Ex GST'!G16*1.1</f>
        <v>6.1875000000000009</v>
      </c>
      <c r="H16" s="43">
        <f>'2017 DUOS Ex GST'!H16*1.1</f>
        <v>0</v>
      </c>
      <c r="I16" s="43">
        <f>'2017 DUOS Ex GST'!I16*1.1</f>
        <v>0</v>
      </c>
      <c r="J16" s="43">
        <f>'2017 DUOS Ex GST'!J16*1.1</f>
        <v>0</v>
      </c>
      <c r="K16" s="43">
        <f>'2017 DUOS Ex GST'!K16*1.1</f>
        <v>1.8183000000000002</v>
      </c>
      <c r="L16" s="43">
        <f>'2017 DUOS Ex GST'!L16*1.1</f>
        <v>0</v>
      </c>
      <c r="M16" s="44">
        <f>'2017 DUOS Ex GST'!M16*1.1</f>
        <v>70.833400000000012</v>
      </c>
      <c r="N16" s="43">
        <f>'2017 DUOS Ex GST'!N16*1.1</f>
        <v>0</v>
      </c>
      <c r="O16" s="43">
        <f>'2017 DUOS Ex GST'!O16*1.1</f>
        <v>0</v>
      </c>
      <c r="P16" s="44">
        <f>'2017 DUOS Ex GST'!P16*1.1</f>
        <v>0</v>
      </c>
      <c r="Q16" s="43">
        <f>'2017 DUOS Ex GST'!Q16*1.1</f>
        <v>0</v>
      </c>
      <c r="R16" s="66"/>
      <c r="S16" s="67"/>
      <c r="T16" s="68"/>
      <c r="U16" s="69"/>
    </row>
    <row r="17" spans="1:22" ht="27.75" customHeight="1" x14ac:dyDescent="0.2">
      <c r="A17" s="54"/>
      <c r="B17" s="19" t="s">
        <v>44</v>
      </c>
      <c r="C17" s="20" t="s">
        <v>45</v>
      </c>
      <c r="D17" s="58"/>
      <c r="E17" s="49">
        <f>'2017 DUOS Ex GST'!E17*1.1</f>
        <v>13.922700000000001</v>
      </c>
      <c r="F17" s="43">
        <f>'2017 DUOS Ex GST'!F17*1.1</f>
        <v>6.3756000000000004</v>
      </c>
      <c r="G17" s="43">
        <f>'2017 DUOS Ex GST'!G17*1.1</f>
        <v>5.0303000000000004</v>
      </c>
      <c r="H17" s="43">
        <f>'2017 DUOS Ex GST'!H17*1.1</f>
        <v>0</v>
      </c>
      <c r="I17" s="43">
        <f>'2017 DUOS Ex GST'!I17*1.1</f>
        <v>0</v>
      </c>
      <c r="J17" s="43">
        <f>'2017 DUOS Ex GST'!J17*1.1</f>
        <v>0</v>
      </c>
      <c r="K17" s="43">
        <f>'2017 DUOS Ex GST'!K17*1.1</f>
        <v>0</v>
      </c>
      <c r="L17" s="43">
        <f>'2017 DUOS Ex GST'!L17*1.1</f>
        <v>0</v>
      </c>
      <c r="M17" s="44">
        <f>'2017 DUOS Ex GST'!M17*1.1</f>
        <v>0</v>
      </c>
      <c r="N17" s="43">
        <f>'2017 DUOS Ex GST'!N17*1.1</f>
        <v>0</v>
      </c>
      <c r="O17" s="43">
        <f>'2017 DUOS Ex GST'!O17*1.1</f>
        <v>0</v>
      </c>
      <c r="P17" s="44">
        <f>'2017 DUOS Ex GST'!P17*1.1</f>
        <v>0</v>
      </c>
      <c r="Q17" s="43">
        <f>'2017 DUOS Ex GST'!Q17*1.1</f>
        <v>0</v>
      </c>
      <c r="R17" s="66"/>
      <c r="S17" s="67"/>
      <c r="T17" s="68"/>
      <c r="U17" s="69"/>
    </row>
    <row r="18" spans="1:22" ht="27.75" customHeight="1" x14ac:dyDescent="0.2">
      <c r="A18" s="54"/>
      <c r="B18" s="19" t="s">
        <v>46</v>
      </c>
      <c r="C18" s="20" t="s">
        <v>47</v>
      </c>
      <c r="D18" s="58"/>
      <c r="E18" s="49">
        <f>'2017 DUOS Ex GST'!E18*1.1</f>
        <v>20.0838</v>
      </c>
      <c r="F18" s="43">
        <f>'2017 DUOS Ex GST'!F18*1.1</f>
        <v>9.9814000000000007</v>
      </c>
      <c r="G18" s="43">
        <f>'2017 DUOS Ex GST'!G18*1.1</f>
        <v>7.9365000000000006</v>
      </c>
      <c r="H18" s="43">
        <f>'2017 DUOS Ex GST'!H18*1.1</f>
        <v>0</v>
      </c>
      <c r="I18" s="43">
        <f>'2017 DUOS Ex GST'!I18*1.1</f>
        <v>0</v>
      </c>
      <c r="J18" s="43">
        <f>'2017 DUOS Ex GST'!J18*1.1</f>
        <v>0</v>
      </c>
      <c r="K18" s="43">
        <f>'2017 DUOS Ex GST'!K18*1.1</f>
        <v>1.8997000000000002</v>
      </c>
      <c r="L18" s="43">
        <f>'2017 DUOS Ex GST'!L18*1.1</f>
        <v>0</v>
      </c>
      <c r="M18" s="44">
        <f>'2017 DUOS Ex GST'!M18*1.1</f>
        <v>0</v>
      </c>
      <c r="N18" s="43">
        <f>'2017 DUOS Ex GST'!N18*1.1</f>
        <v>0</v>
      </c>
      <c r="O18" s="43">
        <f>'2017 DUOS Ex GST'!O18*1.1</f>
        <v>0</v>
      </c>
      <c r="P18" s="44">
        <f>'2017 DUOS Ex GST'!P18*1.1</f>
        <v>0</v>
      </c>
      <c r="Q18" s="43">
        <f>'2017 DUOS Ex GST'!Q18*1.1</f>
        <v>0</v>
      </c>
      <c r="R18" s="66"/>
      <c r="S18" s="67"/>
      <c r="T18" s="68"/>
      <c r="U18" s="69"/>
    </row>
    <row r="19" spans="1:22" ht="27.75" customHeight="1" x14ac:dyDescent="0.2">
      <c r="A19" s="54"/>
      <c r="B19" s="19" t="s">
        <v>48</v>
      </c>
      <c r="C19" s="20" t="s">
        <v>49</v>
      </c>
      <c r="D19" s="58"/>
      <c r="E19" s="49">
        <f>'2017 DUOS Ex GST'!E19*1.1</f>
        <v>0</v>
      </c>
      <c r="F19" s="43">
        <f>'2017 DUOS Ex GST'!F19*1.1</f>
        <v>1.4355</v>
      </c>
      <c r="G19" s="43">
        <f>'2017 DUOS Ex GST'!G19*1.1</f>
        <v>1.2166000000000001</v>
      </c>
      <c r="H19" s="43">
        <f>'2017 DUOS Ex GST'!H19*1.1</f>
        <v>0</v>
      </c>
      <c r="I19" s="43">
        <f>'2017 DUOS Ex GST'!I19*1.1</f>
        <v>0</v>
      </c>
      <c r="J19" s="43">
        <f>'2017 DUOS Ex GST'!J19*1.1</f>
        <v>0</v>
      </c>
      <c r="K19" s="43">
        <f>'2017 DUOS Ex GST'!K19*1.1</f>
        <v>1.2045000000000001</v>
      </c>
      <c r="L19" s="43">
        <f>'2017 DUOS Ex GST'!L19*1.1</f>
        <v>14.489200000000002</v>
      </c>
      <c r="M19" s="44">
        <f>'2017 DUOS Ex GST'!M19*1.1</f>
        <v>21.614999999999998</v>
      </c>
      <c r="N19" s="43">
        <f>'2017 DUOS Ex GST'!N19*1.1</f>
        <v>0</v>
      </c>
      <c r="O19" s="43">
        <f>'2017 DUOS Ex GST'!O19*1.1</f>
        <v>0</v>
      </c>
      <c r="P19" s="44">
        <f>'2017 DUOS Ex GST'!P19*1.1</f>
        <v>0</v>
      </c>
      <c r="Q19" s="43">
        <f>'2017 DUOS Ex GST'!Q19*1.1</f>
        <v>0</v>
      </c>
      <c r="R19" s="66" t="s">
        <v>50</v>
      </c>
      <c r="S19" s="67" t="s">
        <v>51</v>
      </c>
      <c r="T19" s="68">
        <v>150</v>
      </c>
      <c r="U19" s="69"/>
    </row>
    <row r="20" spans="1:22" ht="27.75" customHeight="1" x14ac:dyDescent="0.2">
      <c r="A20" s="54"/>
      <c r="B20" s="19" t="s">
        <v>52</v>
      </c>
      <c r="C20" s="20" t="s">
        <v>53</v>
      </c>
      <c r="D20" s="59"/>
      <c r="E20" s="49">
        <f>'2017 DUOS Ex GST'!E20*1.1</f>
        <v>0</v>
      </c>
      <c r="F20" s="43">
        <f>'2017 DUOS Ex GST'!F20*1.1</f>
        <v>1.2529000000000001</v>
      </c>
      <c r="G20" s="43">
        <f>'2017 DUOS Ex GST'!G20*1.1</f>
        <v>1.0362</v>
      </c>
      <c r="H20" s="43">
        <f>'2017 DUOS Ex GST'!H20*1.1</f>
        <v>0</v>
      </c>
      <c r="I20" s="43">
        <f>'2017 DUOS Ex GST'!I20*1.1</f>
        <v>0</v>
      </c>
      <c r="J20" s="43">
        <f>'2017 DUOS Ex GST'!J20*1.1</f>
        <v>0</v>
      </c>
      <c r="K20" s="43">
        <f>'2017 DUOS Ex GST'!K20*1.1</f>
        <v>1.0296000000000001</v>
      </c>
      <c r="L20" s="43">
        <f>'2017 DUOS Ex GST'!L20*1.1</f>
        <v>14.4177</v>
      </c>
      <c r="M20" s="44">
        <f>'2017 DUOS Ex GST'!M20*1.1</f>
        <v>34.008700000000005</v>
      </c>
      <c r="N20" s="43">
        <f>'2017 DUOS Ex GST'!N20*1.1</f>
        <v>0</v>
      </c>
      <c r="O20" s="43">
        <f>'2017 DUOS Ex GST'!O20*1.1</f>
        <v>0</v>
      </c>
      <c r="P20" s="44">
        <f>'2017 DUOS Ex GST'!P20*1.1</f>
        <v>0</v>
      </c>
      <c r="Q20" s="43">
        <f>'2017 DUOS Ex GST'!Q20*1.1</f>
        <v>0</v>
      </c>
      <c r="R20" s="66"/>
      <c r="S20" s="67"/>
      <c r="T20" s="68">
        <v>150</v>
      </c>
      <c r="U20" s="69"/>
      <c r="V20" s="32"/>
    </row>
    <row r="21" spans="1:22" ht="27.75" customHeight="1" x14ac:dyDescent="0.2">
      <c r="A21" s="54"/>
      <c r="B21" s="19" t="s">
        <v>54</v>
      </c>
      <c r="C21" s="20" t="s">
        <v>55</v>
      </c>
      <c r="D21" s="58"/>
      <c r="E21" s="49">
        <f>'2017 DUOS Ex GST'!E21*1.1</f>
        <v>0</v>
      </c>
      <c r="F21" s="43">
        <f>'2017 DUOS Ex GST'!F21*1.1</f>
        <v>0.86460000000000015</v>
      </c>
      <c r="G21" s="43">
        <f>'2017 DUOS Ex GST'!G21*1.1</f>
        <v>0.76339999999999997</v>
      </c>
      <c r="H21" s="43">
        <f>'2017 DUOS Ex GST'!H21*1.1</f>
        <v>0</v>
      </c>
      <c r="I21" s="43">
        <f>'2017 DUOS Ex GST'!I21*1.1</f>
        <v>0</v>
      </c>
      <c r="J21" s="43">
        <f>'2017 DUOS Ex GST'!J21*1.1</f>
        <v>0</v>
      </c>
      <c r="K21" s="43">
        <f>'2017 DUOS Ex GST'!K21*1.1</f>
        <v>0.75020000000000009</v>
      </c>
      <c r="L21" s="43">
        <f>'2017 DUOS Ex GST'!L21*1.1</f>
        <v>8.8132000000000019</v>
      </c>
      <c r="M21" s="44">
        <f>'2017 DUOS Ex GST'!M21*1.1</f>
        <v>12.103300000000001</v>
      </c>
      <c r="N21" s="43">
        <f>'2017 DUOS Ex GST'!N21*1.1</f>
        <v>0</v>
      </c>
      <c r="O21" s="43">
        <f>'2017 DUOS Ex GST'!O21*1.1</f>
        <v>0</v>
      </c>
      <c r="P21" s="44">
        <f>'2017 DUOS Ex GST'!P21*1.1</f>
        <v>0</v>
      </c>
      <c r="Q21" s="43">
        <f>'2017 DUOS Ex GST'!Q21*1.1</f>
        <v>0</v>
      </c>
      <c r="R21" s="66" t="s">
        <v>50</v>
      </c>
      <c r="S21" s="67" t="s">
        <v>51</v>
      </c>
      <c r="T21" s="68">
        <v>1150</v>
      </c>
      <c r="U21" s="69"/>
    </row>
    <row r="22" spans="1:22" ht="27.75" customHeight="1" x14ac:dyDescent="0.2">
      <c r="A22" s="54"/>
      <c r="B22" s="19" t="s">
        <v>56</v>
      </c>
      <c r="C22" s="20" t="s">
        <v>57</v>
      </c>
      <c r="D22" s="59"/>
      <c r="E22" s="49">
        <f>'2017 DUOS Ex GST'!E22*1.1</f>
        <v>0</v>
      </c>
      <c r="F22" s="43">
        <f>'2017 DUOS Ex GST'!F22*1.1</f>
        <v>0.89539999999999997</v>
      </c>
      <c r="G22" s="43">
        <f>'2017 DUOS Ex GST'!G22*1.1</f>
        <v>0.74030000000000007</v>
      </c>
      <c r="H22" s="43">
        <f>'2017 DUOS Ex GST'!H22*1.1</f>
        <v>0</v>
      </c>
      <c r="I22" s="43">
        <f>'2017 DUOS Ex GST'!I22*1.1</f>
        <v>0</v>
      </c>
      <c r="J22" s="43">
        <f>'2017 DUOS Ex GST'!J22*1.1</f>
        <v>0</v>
      </c>
      <c r="K22" s="43">
        <f>'2017 DUOS Ex GST'!K22*1.1</f>
        <v>0.73150000000000015</v>
      </c>
      <c r="L22" s="43">
        <f>'2017 DUOS Ex GST'!L22*1.1</f>
        <v>10.165100000000001</v>
      </c>
      <c r="M22" s="44">
        <f>'2017 DUOS Ex GST'!M22*1.1</f>
        <v>24.614699999999999</v>
      </c>
      <c r="N22" s="43">
        <f>'2017 DUOS Ex GST'!N22*1.1</f>
        <v>0</v>
      </c>
      <c r="O22" s="43">
        <f>'2017 DUOS Ex GST'!O22*1.1</f>
        <v>0</v>
      </c>
      <c r="P22" s="44">
        <f>'2017 DUOS Ex GST'!P22*1.1</f>
        <v>0</v>
      </c>
      <c r="Q22" s="43">
        <f>'2017 DUOS Ex GST'!Q22*1.1</f>
        <v>0</v>
      </c>
      <c r="R22" s="66"/>
      <c r="S22" s="67"/>
      <c r="T22" s="68">
        <v>1150</v>
      </c>
      <c r="U22" s="69"/>
      <c r="V22" s="32"/>
    </row>
    <row r="23" spans="1:22" ht="27.75" customHeight="1" x14ac:dyDescent="0.2">
      <c r="A23" s="54"/>
      <c r="B23" s="19" t="s">
        <v>58</v>
      </c>
      <c r="C23" s="20" t="s">
        <v>59</v>
      </c>
      <c r="D23" s="58"/>
      <c r="E23" s="49">
        <f>'2017 DUOS Ex GST'!E23*1.1</f>
        <v>0</v>
      </c>
      <c r="F23" s="43">
        <f>'2017 DUOS Ex GST'!F23*1.1</f>
        <v>0.49280000000000007</v>
      </c>
      <c r="G23" s="43">
        <f>'2017 DUOS Ex GST'!G23*1.1</f>
        <v>0.38390000000000002</v>
      </c>
      <c r="H23" s="43">
        <f>'2017 DUOS Ex GST'!H23*1.1</f>
        <v>0</v>
      </c>
      <c r="I23" s="43">
        <f>'2017 DUOS Ex GST'!I23*1.1</f>
        <v>0</v>
      </c>
      <c r="J23" s="43">
        <f>'2017 DUOS Ex GST'!J23*1.1</f>
        <v>0</v>
      </c>
      <c r="K23" s="43">
        <f>'2017 DUOS Ex GST'!K23*1.1</f>
        <v>0.3322</v>
      </c>
      <c r="L23" s="43">
        <f>'2017 DUOS Ex GST'!L23*1.1</f>
        <v>0.86240000000000006</v>
      </c>
      <c r="M23" s="44">
        <f>'2017 DUOS Ex GST'!M23*1.1</f>
        <v>1.2639</v>
      </c>
      <c r="N23" s="43">
        <f>'2017 DUOS Ex GST'!N23*1.1</f>
        <v>0</v>
      </c>
      <c r="O23" s="43">
        <f>'2017 DUOS Ex GST'!O23*1.1</f>
        <v>0</v>
      </c>
      <c r="P23" s="44">
        <f>'2017 DUOS Ex GST'!P23*1.1</f>
        <v>0</v>
      </c>
      <c r="Q23" s="43">
        <f>'2017 DUOS Ex GST'!Q23*1.1</f>
        <v>0</v>
      </c>
      <c r="R23" s="66"/>
      <c r="S23" s="67"/>
      <c r="T23" s="68">
        <v>11100</v>
      </c>
      <c r="U23" s="69"/>
    </row>
    <row r="24" spans="1:22" ht="27.75" customHeight="1" x14ac:dyDescent="0.2">
      <c r="A24" s="54"/>
      <c r="B24" s="19" t="s">
        <v>60</v>
      </c>
      <c r="C24" s="20" t="s">
        <v>61</v>
      </c>
      <c r="D24" s="58" t="s">
        <v>99</v>
      </c>
      <c r="E24" s="49">
        <f>'2017 DUOS Ex GST'!E24*1.1</f>
        <v>6.9608000000000008</v>
      </c>
      <c r="F24" s="43">
        <f>'2017 DUOS Ex GST'!F24*1.1</f>
        <v>16.7332</v>
      </c>
      <c r="G24" s="43">
        <f>'2017 DUOS Ex GST'!G24*1.1</f>
        <v>9.8615000000000013</v>
      </c>
      <c r="H24" s="43">
        <f>'2017 DUOS Ex GST'!H24*1.1</f>
        <v>0</v>
      </c>
      <c r="I24" s="43">
        <f>'2017 DUOS Ex GST'!I24*1.1</f>
        <v>4.7157</v>
      </c>
      <c r="J24" s="43">
        <f>'2017 DUOS Ex GST'!J24*1.1</f>
        <v>3.4738000000000002</v>
      </c>
      <c r="K24" s="43">
        <f>'2017 DUOS Ex GST'!K24*1.1</f>
        <v>3.2263000000000002</v>
      </c>
      <c r="L24" s="43">
        <f>'2017 DUOS Ex GST'!L24*1.1</f>
        <v>0</v>
      </c>
      <c r="M24" s="44">
        <f>'2017 DUOS Ex GST'!M24*1.1</f>
        <v>0</v>
      </c>
      <c r="N24" s="43">
        <f>'2017 DUOS Ex GST'!N24*1.1</f>
        <v>0</v>
      </c>
      <c r="O24" s="43">
        <f>'2017 DUOS Ex GST'!O24*1.1</f>
        <v>0</v>
      </c>
      <c r="P24" s="44">
        <f>'2017 DUOS Ex GST'!P24*1.1</f>
        <v>0</v>
      </c>
      <c r="Q24" s="43">
        <f>'2017 DUOS Ex GST'!Q24*1.1</f>
        <v>0</v>
      </c>
      <c r="R24" s="66" t="s">
        <v>20</v>
      </c>
      <c r="S24" s="67" t="s">
        <v>21</v>
      </c>
      <c r="T24" s="68"/>
      <c r="U24" s="69"/>
    </row>
    <row r="25" spans="1:22" ht="27.75" customHeight="1" x14ac:dyDescent="0.2">
      <c r="A25" s="54"/>
      <c r="B25" s="19" t="s">
        <v>62</v>
      </c>
      <c r="C25" s="20" t="s">
        <v>63</v>
      </c>
      <c r="D25" s="58" t="s">
        <v>99</v>
      </c>
      <c r="E25" s="49">
        <f>'2017 DUOS Ex GST'!E25*1.1</f>
        <v>0</v>
      </c>
      <c r="F25" s="43">
        <f>'2017 DUOS Ex GST'!F25*1.1</f>
        <v>10.005600000000001</v>
      </c>
      <c r="G25" s="43">
        <f>'2017 DUOS Ex GST'!G25*1.1</f>
        <v>6.0786000000000007</v>
      </c>
      <c r="H25" s="43">
        <f>'2017 DUOS Ex GST'!H25*1.1</f>
        <v>0</v>
      </c>
      <c r="I25" s="43">
        <f>'2017 DUOS Ex GST'!I25*1.1</f>
        <v>0</v>
      </c>
      <c r="J25" s="43">
        <f>'2017 DUOS Ex GST'!J25*1.1</f>
        <v>0</v>
      </c>
      <c r="K25" s="43">
        <f>'2017 DUOS Ex GST'!K25*1.1</f>
        <v>2.9348000000000005</v>
      </c>
      <c r="L25" s="43">
        <f>'2017 DUOS Ex GST'!L25*1.1</f>
        <v>0</v>
      </c>
      <c r="M25" s="44">
        <f>'2017 DUOS Ex GST'!M25*1.1</f>
        <v>43.451100000000004</v>
      </c>
      <c r="N25" s="43">
        <f>'2017 DUOS Ex GST'!N25*1.1</f>
        <v>0</v>
      </c>
      <c r="O25" s="43">
        <f>'2017 DUOS Ex GST'!O25*1.1</f>
        <v>0</v>
      </c>
      <c r="P25" s="44">
        <f>'2017 DUOS Ex GST'!P25*1.1</f>
        <v>0</v>
      </c>
      <c r="Q25" s="43">
        <f>'2017 DUOS Ex GST'!Q25*1.1</f>
        <v>0</v>
      </c>
      <c r="R25" s="66" t="s">
        <v>20</v>
      </c>
      <c r="S25" s="67" t="s">
        <v>35</v>
      </c>
      <c r="T25" s="68"/>
      <c r="U25" s="69"/>
    </row>
    <row r="26" spans="1:22" ht="27.75" customHeight="1" x14ac:dyDescent="0.2">
      <c r="A26" s="54"/>
      <c r="B26" s="19" t="s">
        <v>64</v>
      </c>
      <c r="C26" s="20" t="s">
        <v>65</v>
      </c>
      <c r="D26" s="58" t="s">
        <v>99</v>
      </c>
      <c r="E26" s="49">
        <f>'2017 DUOS Ex GST'!E26*1.1</f>
        <v>7.2204000000000006</v>
      </c>
      <c r="F26" s="43">
        <f>'2017 DUOS Ex GST'!F26*1.1</f>
        <v>18.867200000000004</v>
      </c>
      <c r="G26" s="43">
        <f>'2017 DUOS Ex GST'!G26*1.1</f>
        <v>11.724900000000002</v>
      </c>
      <c r="H26" s="43">
        <f>'2017 DUOS Ex GST'!H26*1.1</f>
        <v>0</v>
      </c>
      <c r="I26" s="43">
        <f>'2017 DUOS Ex GST'!I26*1.1</f>
        <v>5.8487000000000009</v>
      </c>
      <c r="J26" s="43">
        <f>'2017 DUOS Ex GST'!J26*1.1</f>
        <v>4.6981000000000002</v>
      </c>
      <c r="K26" s="43">
        <f>'2017 DUOS Ex GST'!K26*1.1</f>
        <v>4.4693000000000005</v>
      </c>
      <c r="L26" s="43">
        <f>'2017 DUOS Ex GST'!L26*1.1</f>
        <v>0</v>
      </c>
      <c r="M26" s="44">
        <f>'2017 DUOS Ex GST'!M26*1.1</f>
        <v>0</v>
      </c>
      <c r="N26" s="43">
        <f>'2017 DUOS Ex GST'!N26*1.1</f>
        <v>0</v>
      </c>
      <c r="O26" s="43">
        <f>'2017 DUOS Ex GST'!O26*1.1</f>
        <v>0</v>
      </c>
      <c r="P26" s="44">
        <f>'2017 DUOS Ex GST'!P26*1.1</f>
        <v>0</v>
      </c>
      <c r="Q26" s="43">
        <f>'2017 DUOS Ex GST'!Q26*1.1</f>
        <v>0</v>
      </c>
      <c r="R26" s="66" t="s">
        <v>20</v>
      </c>
      <c r="S26" s="67" t="s">
        <v>21</v>
      </c>
      <c r="T26" s="68"/>
      <c r="U26" s="69"/>
    </row>
    <row r="27" spans="1:22" ht="27.75" customHeight="1" x14ac:dyDescent="0.2">
      <c r="A27" s="54"/>
      <c r="B27" s="21" t="s">
        <v>66</v>
      </c>
      <c r="C27" s="22" t="s">
        <v>67</v>
      </c>
      <c r="D27" s="60" t="s">
        <v>99</v>
      </c>
      <c r="E27" s="49">
        <f>'2017 DUOS Ex GST'!E27*1.1</f>
        <v>7.7759000000000009</v>
      </c>
      <c r="F27" s="43">
        <f>'2017 DUOS Ex GST'!F27*1.1</f>
        <v>18.561399999999999</v>
      </c>
      <c r="G27" s="43">
        <f>'2017 DUOS Ex GST'!G27*1.1</f>
        <v>10.6546</v>
      </c>
      <c r="H27" s="43">
        <f>'2017 DUOS Ex GST'!H27*1.1</f>
        <v>0</v>
      </c>
      <c r="I27" s="43">
        <f>'2017 DUOS Ex GST'!I27*1.1</f>
        <v>5.0402000000000005</v>
      </c>
      <c r="J27" s="43">
        <f>'2017 DUOS Ex GST'!J27*1.1</f>
        <v>5.0402000000000005</v>
      </c>
      <c r="K27" s="43">
        <f>'2017 DUOS Ex GST'!K27*1.1</f>
        <v>4.2735000000000003</v>
      </c>
      <c r="L27" s="43">
        <f>'2017 DUOS Ex GST'!L27*1.1</f>
        <v>0</v>
      </c>
      <c r="M27" s="44">
        <f>'2017 DUOS Ex GST'!M27*1.1</f>
        <v>0</v>
      </c>
      <c r="N27" s="43">
        <f>'2017 DUOS Ex GST'!N27*1.1</f>
        <v>0</v>
      </c>
      <c r="O27" s="43">
        <f>'2017 DUOS Ex GST'!O27*1.1</f>
        <v>0</v>
      </c>
      <c r="P27" s="44">
        <f>'2017 DUOS Ex GST'!P27*1.1</f>
        <v>0</v>
      </c>
      <c r="Q27" s="43">
        <f>'2017 DUOS Ex GST'!Q27*1.1</f>
        <v>0</v>
      </c>
      <c r="R27" s="115" t="s">
        <v>68</v>
      </c>
      <c r="S27" s="116"/>
      <c r="T27" s="45"/>
      <c r="U27" s="46"/>
    </row>
    <row r="28" spans="1:22" ht="27.75" customHeight="1" x14ac:dyDescent="0.2">
      <c r="A28" s="54"/>
      <c r="B28" s="37" t="s">
        <v>102</v>
      </c>
      <c r="C28" s="36" t="s">
        <v>104</v>
      </c>
      <c r="D28" s="60" t="s">
        <v>99</v>
      </c>
      <c r="E28" s="49">
        <f>'2017 DUOS Ex GST'!E28*1.1</f>
        <v>0</v>
      </c>
      <c r="F28" s="43">
        <f>'2017 DUOS Ex GST'!F28*1.1</f>
        <v>2.8908000000000005</v>
      </c>
      <c r="G28" s="43">
        <f>'2017 DUOS Ex GST'!G28*1.1</f>
        <v>2.8908000000000005</v>
      </c>
      <c r="H28" s="43">
        <f>'2017 DUOS Ex GST'!H28*1.1</f>
        <v>2.8908000000000005</v>
      </c>
      <c r="I28" s="43">
        <f>'2017 DUOS Ex GST'!I28*1.1</f>
        <v>2.8908000000000005</v>
      </c>
      <c r="J28" s="43">
        <f>'2017 DUOS Ex GST'!J28*1.1</f>
        <v>2.8908000000000005</v>
      </c>
      <c r="K28" s="43">
        <f>'2017 DUOS Ex GST'!K28*1.1</f>
        <v>2.8908000000000005</v>
      </c>
      <c r="L28" s="43">
        <f>'2017 DUOS Ex GST'!L28*1.1</f>
        <v>0</v>
      </c>
      <c r="M28" s="44">
        <f>'2017 DUOS Ex GST'!M28*1.1</f>
        <v>0</v>
      </c>
      <c r="N28" s="43">
        <f>'2017 DUOS Ex GST'!N28*1.1</f>
        <v>27.852000000000004</v>
      </c>
      <c r="O28" s="43">
        <f>'2017 DUOS Ex GST'!O28*1.1</f>
        <v>10.991200000000001</v>
      </c>
      <c r="P28" s="44">
        <f>'2017 DUOS Ex GST'!P28*1.1</f>
        <v>0</v>
      </c>
      <c r="Q28" s="43">
        <f>'2017 DUOS Ex GST'!Q28*1.1</f>
        <v>0</v>
      </c>
      <c r="R28" s="66" t="s">
        <v>20</v>
      </c>
      <c r="S28" s="67" t="s">
        <v>21</v>
      </c>
      <c r="T28" s="45"/>
      <c r="U28" s="73">
        <v>1.5</v>
      </c>
      <c r="V28" s="32"/>
    </row>
    <row r="29" spans="1:22" ht="27.75" customHeight="1" x14ac:dyDescent="0.2">
      <c r="A29" s="54"/>
      <c r="B29" s="37" t="s">
        <v>103</v>
      </c>
      <c r="C29" s="36" t="s">
        <v>106</v>
      </c>
      <c r="D29" s="60" t="s">
        <v>99</v>
      </c>
      <c r="E29" s="49">
        <f>'2017 DUOS Ex GST'!E29*1.1</f>
        <v>0</v>
      </c>
      <c r="F29" s="43">
        <f>'2017 DUOS Ex GST'!F29*1.1</f>
        <v>3.8236000000000003</v>
      </c>
      <c r="G29" s="43">
        <f>'2017 DUOS Ex GST'!G29*1.1</f>
        <v>3.8236000000000003</v>
      </c>
      <c r="H29" s="43">
        <f>'2017 DUOS Ex GST'!H29*1.1</f>
        <v>3.8236000000000003</v>
      </c>
      <c r="I29" s="43">
        <f>'2017 DUOS Ex GST'!I29*1.1</f>
        <v>3.8236000000000003</v>
      </c>
      <c r="J29" s="43">
        <f>'2017 DUOS Ex GST'!J29*1.1</f>
        <v>3.8236000000000003</v>
      </c>
      <c r="K29" s="43">
        <f>'2017 DUOS Ex GST'!K29*1.1</f>
        <v>3.8236000000000003</v>
      </c>
      <c r="L29" s="43">
        <f>'2017 DUOS Ex GST'!L29*1.1</f>
        <v>0</v>
      </c>
      <c r="M29" s="44">
        <f>'2017 DUOS Ex GST'!M29*1.1</f>
        <v>0</v>
      </c>
      <c r="N29" s="43">
        <f>'2017 DUOS Ex GST'!N29*1.1</f>
        <v>31.627200000000002</v>
      </c>
      <c r="O29" s="43">
        <f>'2017 DUOS Ex GST'!O29*1.1</f>
        <v>21.084800000000001</v>
      </c>
      <c r="P29" s="44">
        <f>'2017 DUOS Ex GST'!P29*1.1</f>
        <v>0</v>
      </c>
      <c r="Q29" s="43">
        <f>'2017 DUOS Ex GST'!Q29*1.1</f>
        <v>0</v>
      </c>
      <c r="R29" s="66" t="s">
        <v>20</v>
      </c>
      <c r="S29" s="67" t="s">
        <v>35</v>
      </c>
      <c r="T29" s="45"/>
      <c r="U29" s="73">
        <v>1.5</v>
      </c>
      <c r="V29" s="32"/>
    </row>
    <row r="30" spans="1:22" ht="27.75" customHeight="1" thickBot="1" x14ac:dyDescent="0.25">
      <c r="A30" s="54"/>
      <c r="B30" s="37" t="s">
        <v>105</v>
      </c>
      <c r="C30" s="36" t="s">
        <v>107</v>
      </c>
      <c r="D30" s="60" t="s">
        <v>99</v>
      </c>
      <c r="E30" s="49">
        <f>'2017 DUOS Ex GST'!E30*1.1</f>
        <v>0</v>
      </c>
      <c r="F30" s="43">
        <f>'2017 DUOS Ex GST'!F30*1.1</f>
        <v>5.8673999999999999</v>
      </c>
      <c r="G30" s="43">
        <f>'2017 DUOS Ex GST'!G30*1.1</f>
        <v>5.8673999999999999</v>
      </c>
      <c r="H30" s="43">
        <f>'2017 DUOS Ex GST'!H30*1.1</f>
        <v>5.8673999999999999</v>
      </c>
      <c r="I30" s="43">
        <f>'2017 DUOS Ex GST'!I30*1.1</f>
        <v>5.8673999999999999</v>
      </c>
      <c r="J30" s="43">
        <f>'2017 DUOS Ex GST'!J30*1.1</f>
        <v>5.8673999999999999</v>
      </c>
      <c r="K30" s="43">
        <f>'2017 DUOS Ex GST'!K30*1.1</f>
        <v>5.8673999999999999</v>
      </c>
      <c r="L30" s="43">
        <f>'2017 DUOS Ex GST'!L30*1.1</f>
        <v>0</v>
      </c>
      <c r="M30" s="44">
        <f>'2017 DUOS Ex GST'!M30*1.1</f>
        <v>0</v>
      </c>
      <c r="N30" s="43">
        <f>'2017 DUOS Ex GST'!N30*1.1</f>
        <v>19.660300000000003</v>
      </c>
      <c r="O30" s="43">
        <f>'2017 DUOS Ex GST'!O30*1.1</f>
        <v>13.1065</v>
      </c>
      <c r="P30" s="44">
        <f>'2017 DUOS Ex GST'!P30*1.1</f>
        <v>0</v>
      </c>
      <c r="Q30" s="43">
        <f>'2017 DUOS Ex GST'!Q30*1.1</f>
        <v>0</v>
      </c>
      <c r="R30" s="66" t="s">
        <v>20</v>
      </c>
      <c r="S30" s="67" t="s">
        <v>98</v>
      </c>
      <c r="T30" s="68"/>
      <c r="U30" s="73">
        <v>1.5</v>
      </c>
    </row>
    <row r="31" spans="1:22" ht="15" customHeight="1" thickBot="1" x14ac:dyDescent="0.25">
      <c r="B31" s="18"/>
      <c r="C31" s="23"/>
      <c r="D31" s="6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74"/>
      <c r="S31" s="74"/>
      <c r="T31" s="74"/>
      <c r="U31" s="75"/>
    </row>
    <row r="32" spans="1:22" ht="15" customHeight="1" x14ac:dyDescent="0.2">
      <c r="B32" s="18"/>
      <c r="C32" s="23"/>
      <c r="D32" s="23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3"/>
      <c r="S32" s="23"/>
      <c r="T32" s="23"/>
      <c r="U32" s="25"/>
    </row>
    <row r="33" spans="1:21" ht="16.149999999999999" customHeight="1" x14ac:dyDescent="0.2">
      <c r="B33" s="38" t="s">
        <v>69</v>
      </c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7"/>
    </row>
    <row r="34" spans="1:21" ht="16.149999999999999" customHeight="1" x14ac:dyDescent="0.2">
      <c r="B34" s="38" t="s">
        <v>70</v>
      </c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7"/>
    </row>
    <row r="35" spans="1:21" ht="16.149999999999999" customHeight="1" x14ac:dyDescent="0.2">
      <c r="B35" s="39" t="s">
        <v>71</v>
      </c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7"/>
    </row>
    <row r="36" spans="1:21" ht="16.149999999999999" customHeight="1" x14ac:dyDescent="0.2">
      <c r="B36" s="39" t="s">
        <v>72</v>
      </c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7"/>
    </row>
    <row r="37" spans="1:21" ht="16.149999999999999" customHeight="1" x14ac:dyDescent="0.2">
      <c r="B37" s="38" t="s">
        <v>73</v>
      </c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7"/>
    </row>
    <row r="38" spans="1:21" ht="16.149999999999999" customHeight="1" x14ac:dyDescent="0.2">
      <c r="B38" s="56" t="s">
        <v>101</v>
      </c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7"/>
    </row>
    <row r="39" spans="1:21" ht="16.149999999999999" customHeight="1" x14ac:dyDescent="0.2">
      <c r="B39" s="56" t="s">
        <v>112</v>
      </c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7"/>
    </row>
    <row r="40" spans="1:21" ht="16.149999999999999" customHeight="1" x14ac:dyDescent="0.2">
      <c r="B40" s="56" t="s">
        <v>114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7"/>
    </row>
    <row r="41" spans="1:21" ht="15" customHeight="1" thickBot="1" x14ac:dyDescent="0.25">
      <c r="B41" s="28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30"/>
    </row>
    <row r="42" spans="1:21" x14ac:dyDescent="0.2"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31"/>
      <c r="O42" s="31"/>
      <c r="P42" s="26"/>
      <c r="Q42" s="26"/>
      <c r="R42" s="26"/>
      <c r="S42" s="26"/>
      <c r="T42" s="26"/>
      <c r="U42" s="26"/>
    </row>
    <row r="43" spans="1:21" x14ac:dyDescent="0.2"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</row>
    <row r="44" spans="1:21" x14ac:dyDescent="0.2">
      <c r="A44"/>
    </row>
    <row r="45" spans="1:21" x14ac:dyDescent="0.2">
      <c r="A45"/>
    </row>
    <row r="46" spans="1:21" x14ac:dyDescent="0.2">
      <c r="A46"/>
    </row>
    <row r="47" spans="1:21" x14ac:dyDescent="0.2">
      <c r="A47"/>
    </row>
    <row r="48" spans="1:21" x14ac:dyDescent="0.2">
      <c r="A48"/>
    </row>
    <row r="49" spans="1:1" x14ac:dyDescent="0.2">
      <c r="A49"/>
    </row>
    <row r="50" spans="1:1" x14ac:dyDescent="0.2">
      <c r="A50"/>
    </row>
    <row r="51" spans="1:1" x14ac:dyDescent="0.2">
      <c r="A51"/>
    </row>
    <row r="52" spans="1:1" x14ac:dyDescent="0.2">
      <c r="A52"/>
    </row>
    <row r="53" spans="1:1" x14ac:dyDescent="0.2">
      <c r="A53"/>
    </row>
    <row r="54" spans="1:1" x14ac:dyDescent="0.2">
      <c r="A54"/>
    </row>
    <row r="55" spans="1:1" x14ac:dyDescent="0.2">
      <c r="A55"/>
    </row>
    <row r="56" spans="1:1" x14ac:dyDescent="0.2">
      <c r="A56"/>
    </row>
    <row r="57" spans="1:1" x14ac:dyDescent="0.2">
      <c r="A57"/>
    </row>
    <row r="58" spans="1:1" x14ac:dyDescent="0.2">
      <c r="A58"/>
    </row>
    <row r="59" spans="1:1" x14ac:dyDescent="0.2">
      <c r="A59"/>
    </row>
    <row r="60" spans="1:1" x14ac:dyDescent="0.2">
      <c r="A60"/>
    </row>
    <row r="61" spans="1:1" x14ac:dyDescent="0.2">
      <c r="A61"/>
    </row>
    <row r="62" spans="1:1" x14ac:dyDescent="0.2">
      <c r="A62"/>
    </row>
    <row r="63" spans="1:1" x14ac:dyDescent="0.2">
      <c r="A63"/>
    </row>
    <row r="64" spans="1:1" x14ac:dyDescent="0.2">
      <c r="A64"/>
    </row>
    <row r="65" spans="1:1" x14ac:dyDescent="0.2">
      <c r="A65"/>
    </row>
    <row r="66" spans="1:1" x14ac:dyDescent="0.2">
      <c r="A66"/>
    </row>
    <row r="67" spans="1:1" x14ac:dyDescent="0.2">
      <c r="A67"/>
    </row>
    <row r="68" spans="1:1" x14ac:dyDescent="0.2">
      <c r="A68"/>
    </row>
    <row r="69" spans="1:1" x14ac:dyDescent="0.2">
      <c r="A69"/>
    </row>
    <row r="70" spans="1:1" x14ac:dyDescent="0.2">
      <c r="A70"/>
    </row>
    <row r="71" spans="1:1" x14ac:dyDescent="0.2">
      <c r="A71"/>
    </row>
    <row r="72" spans="1:1" x14ac:dyDescent="0.2">
      <c r="A72"/>
    </row>
    <row r="73" spans="1:1" x14ac:dyDescent="0.2">
      <c r="A73"/>
    </row>
    <row r="74" spans="1:1" x14ac:dyDescent="0.2">
      <c r="A74"/>
    </row>
    <row r="75" spans="1:1" x14ac:dyDescent="0.2">
      <c r="A75"/>
    </row>
    <row r="76" spans="1:1" x14ac:dyDescent="0.2">
      <c r="A76"/>
    </row>
    <row r="77" spans="1:1" x14ac:dyDescent="0.2">
      <c r="A77"/>
    </row>
    <row r="78" spans="1:1" x14ac:dyDescent="0.2">
      <c r="A78"/>
    </row>
    <row r="79" spans="1:1" x14ac:dyDescent="0.2">
      <c r="A79"/>
    </row>
    <row r="80" spans="1:1" x14ac:dyDescent="0.2">
      <c r="A80"/>
    </row>
    <row r="81" spans="1:1" x14ac:dyDescent="0.2">
      <c r="A81"/>
    </row>
    <row r="82" spans="1:1" x14ac:dyDescent="0.2">
      <c r="A82"/>
    </row>
    <row r="83" spans="1:1" x14ac:dyDescent="0.2">
      <c r="A83"/>
    </row>
    <row r="84" spans="1:1" x14ac:dyDescent="0.2">
      <c r="A84"/>
    </row>
    <row r="85" spans="1:1" x14ac:dyDescent="0.2">
      <c r="A85"/>
    </row>
    <row r="86" spans="1:1" x14ac:dyDescent="0.2">
      <c r="A86"/>
    </row>
    <row r="87" spans="1:1" x14ac:dyDescent="0.2">
      <c r="A87"/>
    </row>
    <row r="88" spans="1:1" x14ac:dyDescent="0.2">
      <c r="A88"/>
    </row>
    <row r="89" spans="1:1" x14ac:dyDescent="0.2">
      <c r="A89"/>
    </row>
    <row r="90" spans="1:1" x14ac:dyDescent="0.2">
      <c r="A90"/>
    </row>
    <row r="91" spans="1:1" x14ac:dyDescent="0.2">
      <c r="A91"/>
    </row>
    <row r="92" spans="1:1" x14ac:dyDescent="0.2">
      <c r="A92"/>
    </row>
    <row r="93" spans="1:1" x14ac:dyDescent="0.2">
      <c r="A93"/>
    </row>
    <row r="94" spans="1:1" x14ac:dyDescent="0.2">
      <c r="A94"/>
    </row>
    <row r="95" spans="1:1" x14ac:dyDescent="0.2">
      <c r="A95"/>
    </row>
  </sheetData>
  <mergeCells count="4">
    <mergeCell ref="B2:T2"/>
    <mergeCell ref="E4:Q4"/>
    <mergeCell ref="R4:S4"/>
    <mergeCell ref="R27:S27"/>
  </mergeCells>
  <pageMargins left="0.74803149606299213" right="0.74803149606299213" top="0.39370078740157483" bottom="0.11811023622047245" header="0.11811023622047245" footer="0.11811023622047245"/>
  <pageSetup paperSize="9" scale="45"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V95"/>
  <sheetViews>
    <sheetView showGridLines="0" showZeros="0" zoomScale="60" zoomScaleNormal="60" workbookViewId="0">
      <selection activeCell="F30" sqref="F30"/>
    </sheetView>
  </sheetViews>
  <sheetFormatPr defaultRowHeight="12.75" x14ac:dyDescent="0.2"/>
  <cols>
    <col min="1" max="1" width="4.7109375" style="52" customWidth="1"/>
    <col min="2" max="2" width="27.7109375" customWidth="1"/>
    <col min="3" max="3" width="21.85546875" customWidth="1"/>
    <col min="4" max="4" width="10.42578125" customWidth="1"/>
    <col min="5" max="6" width="11.140625" customWidth="1"/>
    <col min="7" max="7" width="13.5703125" customWidth="1"/>
    <col min="8" max="11" width="11.140625" customWidth="1"/>
    <col min="12" max="13" width="13.28515625" customWidth="1"/>
    <col min="14" max="17" width="12.28515625" customWidth="1"/>
    <col min="18" max="19" width="11.7109375" customWidth="1"/>
    <col min="20" max="21" width="14.28515625" customWidth="1"/>
    <col min="22" max="22" width="9.5703125" customWidth="1"/>
  </cols>
  <sheetData>
    <row r="1" spans="1:21" ht="12.75" customHeight="1" thickBot="1" x14ac:dyDescent="0.25"/>
    <row r="2" spans="1:21" s="2" customFormat="1" ht="18" x14ac:dyDescent="0.25">
      <c r="A2" s="53"/>
      <c r="B2" s="108" t="s">
        <v>91</v>
      </c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"/>
    </row>
    <row r="3" spans="1:21" s="2" customFormat="1" ht="18.75" thickBot="1" x14ac:dyDescent="0.3">
      <c r="A3" s="53"/>
      <c r="B3" s="33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5"/>
    </row>
    <row r="4" spans="1:21" s="6" customFormat="1" ht="63" customHeight="1" thickBot="1" x14ac:dyDescent="0.25">
      <c r="B4" s="3"/>
      <c r="C4" s="4"/>
      <c r="D4" s="4"/>
      <c r="E4" s="110" t="s">
        <v>0</v>
      </c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2"/>
      <c r="R4" s="113" t="s">
        <v>1</v>
      </c>
      <c r="S4" s="114"/>
      <c r="T4" s="5" t="s">
        <v>2</v>
      </c>
      <c r="U4" s="5" t="s">
        <v>3</v>
      </c>
    </row>
    <row r="5" spans="1:21" s="6" customFormat="1" ht="99" customHeight="1" thickBot="1" x14ac:dyDescent="0.25">
      <c r="B5" s="7" t="s">
        <v>4</v>
      </c>
      <c r="C5" s="8" t="s">
        <v>5</v>
      </c>
      <c r="D5" s="9" t="s">
        <v>6</v>
      </c>
      <c r="E5" s="10" t="s">
        <v>7</v>
      </c>
      <c r="F5" s="11" t="s">
        <v>8</v>
      </c>
      <c r="G5" s="11" t="s">
        <v>9</v>
      </c>
      <c r="H5" s="11" t="s">
        <v>10</v>
      </c>
      <c r="I5" s="11" t="s">
        <v>11</v>
      </c>
      <c r="J5" s="11" t="s">
        <v>12</v>
      </c>
      <c r="K5" s="11" t="s">
        <v>13</v>
      </c>
      <c r="L5" s="11" t="s">
        <v>14</v>
      </c>
      <c r="M5" s="12" t="s">
        <v>15</v>
      </c>
      <c r="N5" s="12" t="s">
        <v>77</v>
      </c>
      <c r="O5" s="12" t="s">
        <v>76</v>
      </c>
      <c r="P5" s="12" t="s">
        <v>74</v>
      </c>
      <c r="Q5" s="12" t="s">
        <v>75</v>
      </c>
      <c r="R5" s="13" t="s">
        <v>16</v>
      </c>
      <c r="S5" s="14" t="s">
        <v>17</v>
      </c>
      <c r="T5" s="15" t="s">
        <v>16</v>
      </c>
      <c r="U5" s="16" t="s">
        <v>78</v>
      </c>
    </row>
    <row r="6" spans="1:21" ht="27.75" customHeight="1" x14ac:dyDescent="0.2">
      <c r="A6" s="54"/>
      <c r="B6" s="17" t="s">
        <v>18</v>
      </c>
      <c r="C6" s="18" t="s">
        <v>19</v>
      </c>
      <c r="D6" s="57" t="s">
        <v>99</v>
      </c>
      <c r="E6" s="47">
        <f>'2017 TUOS Ex GST'!E6*1.1</f>
        <v>0</v>
      </c>
      <c r="F6" s="48">
        <f>'2017 TUOS Ex GST'!F6*1.1</f>
        <v>2.2770000000000001</v>
      </c>
      <c r="G6" s="48">
        <f>'2017 TUOS Ex GST'!G6*1.1</f>
        <v>1.903</v>
      </c>
      <c r="H6" s="48">
        <f>'2017 TUOS Ex GST'!H6*1.1</f>
        <v>0</v>
      </c>
      <c r="I6" s="48">
        <f>'2017 TUOS Ex GST'!I6*1.1</f>
        <v>0</v>
      </c>
      <c r="J6" s="48">
        <f>'2017 TUOS Ex GST'!J6*1.1</f>
        <v>0</v>
      </c>
      <c r="K6" s="48">
        <f>'2017 TUOS Ex GST'!K6*1.1</f>
        <v>0</v>
      </c>
      <c r="L6" s="48">
        <f>'2017 TUOS Ex GST'!L6*1.1</f>
        <v>0</v>
      </c>
      <c r="M6" s="48">
        <f>'2017 TUOS Ex GST'!M6*1.1</f>
        <v>0</v>
      </c>
      <c r="N6" s="48">
        <f>'2017 TUOS Ex GST'!N6*1.1</f>
        <v>0</v>
      </c>
      <c r="O6" s="48">
        <f>'2017 TUOS Ex GST'!O6*1.1</f>
        <v>0</v>
      </c>
      <c r="P6" s="50">
        <f>'2017 TUOS Ex GST'!P6*1.1</f>
        <v>0</v>
      </c>
      <c r="Q6" s="50">
        <f>'2017 TUOS Ex GST'!Q6*1.1</f>
        <v>0</v>
      </c>
      <c r="R6" s="62" t="s">
        <v>20</v>
      </c>
      <c r="S6" s="63" t="s">
        <v>21</v>
      </c>
      <c r="T6" s="64"/>
      <c r="U6" s="65"/>
    </row>
    <row r="7" spans="1:21" ht="27.75" customHeight="1" x14ac:dyDescent="0.2">
      <c r="A7" s="54"/>
      <c r="B7" s="19" t="s">
        <v>22</v>
      </c>
      <c r="C7" s="20" t="s">
        <v>23</v>
      </c>
      <c r="D7" s="58"/>
      <c r="E7" s="49">
        <f>'2017 TUOS Ex GST'!E7*1.1</f>
        <v>0</v>
      </c>
      <c r="F7" s="43">
        <f>'2017 TUOS Ex GST'!F7*1.1</f>
        <v>3.8236000000000003</v>
      </c>
      <c r="G7" s="43">
        <f>'2017 TUOS Ex GST'!G7*1.1</f>
        <v>3.0602000000000005</v>
      </c>
      <c r="H7" s="43">
        <f>'2017 TUOS Ex GST'!H7*1.1</f>
        <v>0</v>
      </c>
      <c r="I7" s="43">
        <f>'2017 TUOS Ex GST'!I7*1.1</f>
        <v>0</v>
      </c>
      <c r="J7" s="43">
        <f>'2017 TUOS Ex GST'!J7*1.1</f>
        <v>0</v>
      </c>
      <c r="K7" s="43">
        <f>'2017 TUOS Ex GST'!K7*1.1</f>
        <v>0</v>
      </c>
      <c r="L7" s="43">
        <f>'2017 TUOS Ex GST'!L7*1.1</f>
        <v>0</v>
      </c>
      <c r="M7" s="44">
        <f>'2017 TUOS Ex GST'!M7*1.1</f>
        <v>0</v>
      </c>
      <c r="N7" s="43">
        <f>'2017 TUOS Ex GST'!N7*1.1</f>
        <v>0</v>
      </c>
      <c r="O7" s="43">
        <f>'2017 TUOS Ex GST'!O7*1.1</f>
        <v>0</v>
      </c>
      <c r="P7" s="44">
        <f>'2017 TUOS Ex GST'!P7*1.1</f>
        <v>0</v>
      </c>
      <c r="Q7" s="43">
        <f>'2017 TUOS Ex GST'!Q7*1.1</f>
        <v>0</v>
      </c>
      <c r="R7" s="66"/>
      <c r="S7" s="67"/>
      <c r="T7" s="68"/>
      <c r="U7" s="69"/>
    </row>
    <row r="8" spans="1:21" ht="27.75" customHeight="1" x14ac:dyDescent="0.2">
      <c r="A8" s="54"/>
      <c r="B8" s="19" t="s">
        <v>24</v>
      </c>
      <c r="C8" s="20" t="s">
        <v>25</v>
      </c>
      <c r="D8" s="58"/>
      <c r="E8" s="49">
        <f>'2017 TUOS Ex GST'!E8*1.1</f>
        <v>0</v>
      </c>
      <c r="F8" s="43">
        <f>'2017 TUOS Ex GST'!F8*1.1</f>
        <v>0</v>
      </c>
      <c r="G8" s="43">
        <f>'2017 TUOS Ex GST'!G8*1.1</f>
        <v>0</v>
      </c>
      <c r="H8" s="43">
        <f>'2017 TUOS Ex GST'!H8*1.1</f>
        <v>0</v>
      </c>
      <c r="I8" s="43">
        <f>'2017 TUOS Ex GST'!I8*1.1</f>
        <v>0</v>
      </c>
      <c r="J8" s="43">
        <f>'2017 TUOS Ex GST'!J8*1.1</f>
        <v>0</v>
      </c>
      <c r="K8" s="43">
        <f>'2017 TUOS Ex GST'!K8*1.1</f>
        <v>0</v>
      </c>
      <c r="L8" s="43">
        <f>'2017 TUOS Ex GST'!L8*1.1</f>
        <v>0</v>
      </c>
      <c r="M8" s="44">
        <f>'2017 TUOS Ex GST'!M8*1.1</f>
        <v>0</v>
      </c>
      <c r="N8" s="43">
        <f>'2017 TUOS Ex GST'!N8*1.1</f>
        <v>0</v>
      </c>
      <c r="O8" s="43">
        <f>'2017 TUOS Ex GST'!O8*1.1</f>
        <v>0</v>
      </c>
      <c r="P8" s="44">
        <f>'2017 TUOS Ex GST'!P8*1.1</f>
        <v>0</v>
      </c>
      <c r="Q8" s="43">
        <f>'2017 TUOS Ex GST'!Q8*1.1</f>
        <v>0</v>
      </c>
      <c r="R8" s="66" t="s">
        <v>20</v>
      </c>
      <c r="S8" s="70" t="s">
        <v>26</v>
      </c>
      <c r="T8" s="71"/>
      <c r="U8" s="72"/>
    </row>
    <row r="9" spans="1:21" ht="27.75" customHeight="1" x14ac:dyDescent="0.2">
      <c r="A9" s="54"/>
      <c r="B9" s="19" t="s">
        <v>27</v>
      </c>
      <c r="C9" s="20" t="s">
        <v>28</v>
      </c>
      <c r="D9" s="58"/>
      <c r="E9" s="49">
        <f>'2017 TUOS Ex GST'!E9*1.1</f>
        <v>0</v>
      </c>
      <c r="F9" s="43">
        <f>'2017 TUOS Ex GST'!F9*1.1</f>
        <v>3.5827000000000004</v>
      </c>
      <c r="G9" s="43">
        <f>'2017 TUOS Ex GST'!G9*1.1</f>
        <v>2.8633000000000006</v>
      </c>
      <c r="H9" s="43">
        <f>'2017 TUOS Ex GST'!H9*1.1</f>
        <v>0</v>
      </c>
      <c r="I9" s="43">
        <f>'2017 TUOS Ex GST'!I9*1.1</f>
        <v>0</v>
      </c>
      <c r="J9" s="43">
        <f>'2017 TUOS Ex GST'!J9*1.1</f>
        <v>0</v>
      </c>
      <c r="K9" s="43">
        <f>'2017 TUOS Ex GST'!K9*1.1</f>
        <v>0</v>
      </c>
      <c r="L9" s="43">
        <f>'2017 TUOS Ex GST'!L9*1.1</f>
        <v>0</v>
      </c>
      <c r="M9" s="44">
        <f>'2017 TUOS Ex GST'!M9*1.1</f>
        <v>0</v>
      </c>
      <c r="N9" s="43">
        <f>'2017 TUOS Ex GST'!N9*1.1</f>
        <v>0</v>
      </c>
      <c r="O9" s="43">
        <f>'2017 TUOS Ex GST'!O9*1.1</f>
        <v>0</v>
      </c>
      <c r="P9" s="44">
        <f>'2017 TUOS Ex GST'!P9*1.1</f>
        <v>0</v>
      </c>
      <c r="Q9" s="43">
        <f>'2017 TUOS Ex GST'!Q9*1.1</f>
        <v>0</v>
      </c>
      <c r="R9" s="66"/>
      <c r="S9" s="67"/>
      <c r="T9" s="71"/>
      <c r="U9" s="72"/>
    </row>
    <row r="10" spans="1:21" ht="27.75" customHeight="1" x14ac:dyDescent="0.2">
      <c r="A10" s="54"/>
      <c r="B10" s="19" t="s">
        <v>29</v>
      </c>
      <c r="C10" s="20" t="s">
        <v>30</v>
      </c>
      <c r="D10" s="58"/>
      <c r="E10" s="49">
        <f>'2017 TUOS Ex GST'!E10*1.1</f>
        <v>0</v>
      </c>
      <c r="F10" s="43">
        <f>'2017 TUOS Ex GST'!F10*1.1</f>
        <v>2.5476000000000001</v>
      </c>
      <c r="G10" s="43">
        <f>'2017 TUOS Ex GST'!G10*1.1</f>
        <v>2.0383</v>
      </c>
      <c r="H10" s="43">
        <f>'2017 TUOS Ex GST'!H10*1.1</f>
        <v>2.0383</v>
      </c>
      <c r="I10" s="43">
        <f>'2017 TUOS Ex GST'!I10*1.1</f>
        <v>0</v>
      </c>
      <c r="J10" s="43">
        <f>'2017 TUOS Ex GST'!J10*1.1</f>
        <v>0</v>
      </c>
      <c r="K10" s="43">
        <f>'2017 TUOS Ex GST'!K10*1.1</f>
        <v>0</v>
      </c>
      <c r="L10" s="43">
        <f>'2017 TUOS Ex GST'!L10*1.1</f>
        <v>0</v>
      </c>
      <c r="M10" s="44">
        <f>'2017 TUOS Ex GST'!M10*1.1</f>
        <v>0</v>
      </c>
      <c r="N10" s="43">
        <f>'2017 TUOS Ex GST'!N10*1.1</f>
        <v>0</v>
      </c>
      <c r="O10" s="43">
        <f>'2017 TUOS Ex GST'!O10*1.1</f>
        <v>0</v>
      </c>
      <c r="P10" s="44">
        <f>'2017 TUOS Ex GST'!P10*1.1</f>
        <v>0</v>
      </c>
      <c r="Q10" s="43">
        <f>'2017 TUOS Ex GST'!Q10*1.1</f>
        <v>0</v>
      </c>
      <c r="R10" s="66"/>
      <c r="S10" s="67"/>
      <c r="T10" s="68"/>
      <c r="U10" s="69"/>
    </row>
    <row r="11" spans="1:21" ht="27.75" customHeight="1" x14ac:dyDescent="0.2">
      <c r="A11" s="54"/>
      <c r="B11" s="19" t="s">
        <v>31</v>
      </c>
      <c r="C11" s="20" t="s">
        <v>32</v>
      </c>
      <c r="D11" s="58"/>
      <c r="E11" s="49">
        <f>'2017 TUOS Ex GST'!E11*1.1</f>
        <v>0</v>
      </c>
      <c r="F11" s="43">
        <f>'2017 TUOS Ex GST'!F11*1.1</f>
        <v>17.263400000000001</v>
      </c>
      <c r="G11" s="43">
        <f>'2017 TUOS Ex GST'!G11*1.1</f>
        <v>3.8445000000000005</v>
      </c>
      <c r="H11" s="43">
        <f>'2017 TUOS Ex GST'!H11*1.1</f>
        <v>0</v>
      </c>
      <c r="I11" s="43">
        <f>'2017 TUOS Ex GST'!I11*1.1</f>
        <v>0</v>
      </c>
      <c r="J11" s="43">
        <f>'2017 TUOS Ex GST'!J11*1.1</f>
        <v>0</v>
      </c>
      <c r="K11" s="43">
        <f>'2017 TUOS Ex GST'!K11*1.1</f>
        <v>0</v>
      </c>
      <c r="L11" s="43">
        <f>'2017 TUOS Ex GST'!L11*1.1</f>
        <v>0</v>
      </c>
      <c r="M11" s="44">
        <f>'2017 TUOS Ex GST'!M11*1.1</f>
        <v>10.9472</v>
      </c>
      <c r="N11" s="43">
        <f>'2017 TUOS Ex GST'!N11*1.1</f>
        <v>0</v>
      </c>
      <c r="O11" s="43">
        <f>'2017 TUOS Ex GST'!O11*1.1</f>
        <v>0</v>
      </c>
      <c r="P11" s="44">
        <f>'2017 TUOS Ex GST'!P11*1.1</f>
        <v>0</v>
      </c>
      <c r="Q11" s="43">
        <f>'2017 TUOS Ex GST'!Q11*1.1</f>
        <v>0</v>
      </c>
      <c r="R11" s="66"/>
      <c r="S11" s="67"/>
      <c r="T11" s="68"/>
      <c r="U11" s="69"/>
    </row>
    <row r="12" spans="1:21" ht="27.75" customHeight="1" x14ac:dyDescent="0.2">
      <c r="A12" s="54"/>
      <c r="B12" s="19" t="s">
        <v>33</v>
      </c>
      <c r="C12" s="20" t="s">
        <v>34</v>
      </c>
      <c r="D12" s="58" t="s">
        <v>99</v>
      </c>
      <c r="E12" s="49">
        <f>'2017 TUOS Ex GST'!E12*1.1</f>
        <v>0</v>
      </c>
      <c r="F12" s="43">
        <f>'2017 TUOS Ex GST'!F12*1.1</f>
        <v>2.6752000000000002</v>
      </c>
      <c r="G12" s="43">
        <f>'2017 TUOS Ex GST'!G12*1.1</f>
        <v>2.1362000000000001</v>
      </c>
      <c r="H12" s="43">
        <f>'2017 TUOS Ex GST'!H12*1.1</f>
        <v>0</v>
      </c>
      <c r="I12" s="43">
        <f>'2017 TUOS Ex GST'!I12*1.1</f>
        <v>0</v>
      </c>
      <c r="J12" s="43">
        <f>'2017 TUOS Ex GST'!J12*1.1</f>
        <v>0</v>
      </c>
      <c r="K12" s="43">
        <f>'2017 TUOS Ex GST'!K12*1.1</f>
        <v>0</v>
      </c>
      <c r="L12" s="43">
        <f>'2017 TUOS Ex GST'!L12*1.1</f>
        <v>0</v>
      </c>
      <c r="M12" s="44">
        <f>'2017 TUOS Ex GST'!M12*1.1</f>
        <v>0</v>
      </c>
      <c r="N12" s="43">
        <f>'2017 TUOS Ex GST'!N12*1.1</f>
        <v>0</v>
      </c>
      <c r="O12" s="43">
        <f>'2017 TUOS Ex GST'!O12*1.1</f>
        <v>0</v>
      </c>
      <c r="P12" s="44">
        <f>'2017 TUOS Ex GST'!P12*1.1</f>
        <v>0</v>
      </c>
      <c r="Q12" s="43">
        <f>'2017 TUOS Ex GST'!Q12*1.1</f>
        <v>0</v>
      </c>
      <c r="R12" s="66" t="s">
        <v>20</v>
      </c>
      <c r="S12" s="67" t="s">
        <v>35</v>
      </c>
      <c r="T12" s="68"/>
      <c r="U12" s="69"/>
    </row>
    <row r="13" spans="1:21" ht="27.75" customHeight="1" x14ac:dyDescent="0.2">
      <c r="A13" s="54"/>
      <c r="B13" s="19" t="s">
        <v>36</v>
      </c>
      <c r="C13" s="20" t="s">
        <v>37</v>
      </c>
      <c r="D13" s="58"/>
      <c r="E13" s="49">
        <f>'2017 TUOS Ex GST'!E13*1.1</f>
        <v>0</v>
      </c>
      <c r="F13" s="43">
        <f>'2017 TUOS Ex GST'!F13*1.1</f>
        <v>2.3166000000000002</v>
      </c>
      <c r="G13" s="43">
        <f>'2017 TUOS Ex GST'!G13*1.1</f>
        <v>1.8524</v>
      </c>
      <c r="H13" s="43">
        <f>'2017 TUOS Ex GST'!H13*1.1</f>
        <v>0</v>
      </c>
      <c r="I13" s="43">
        <f>'2017 TUOS Ex GST'!I13*1.1</f>
        <v>0</v>
      </c>
      <c r="J13" s="43">
        <f>'2017 TUOS Ex GST'!J13*1.1</f>
        <v>0</v>
      </c>
      <c r="K13" s="43">
        <f>'2017 TUOS Ex GST'!K13*1.1</f>
        <v>0</v>
      </c>
      <c r="L13" s="43">
        <f>'2017 TUOS Ex GST'!L13*1.1</f>
        <v>0</v>
      </c>
      <c r="M13" s="44">
        <f>'2017 TUOS Ex GST'!M13*1.1</f>
        <v>0</v>
      </c>
      <c r="N13" s="43">
        <f>'2017 TUOS Ex GST'!N13*1.1</f>
        <v>0</v>
      </c>
      <c r="O13" s="43">
        <f>'2017 TUOS Ex GST'!O13*1.1</f>
        <v>0</v>
      </c>
      <c r="P13" s="44">
        <f>'2017 TUOS Ex GST'!P13*1.1</f>
        <v>0</v>
      </c>
      <c r="Q13" s="43">
        <f>'2017 TUOS Ex GST'!Q13*1.1</f>
        <v>0</v>
      </c>
      <c r="R13" s="66"/>
      <c r="S13" s="67"/>
      <c r="T13" s="68"/>
      <c r="U13" s="69"/>
    </row>
    <row r="14" spans="1:21" ht="27.75" customHeight="1" x14ac:dyDescent="0.2">
      <c r="A14" s="54"/>
      <c r="B14" s="19" t="s">
        <v>38</v>
      </c>
      <c r="C14" s="20" t="s">
        <v>39</v>
      </c>
      <c r="D14" s="58"/>
      <c r="E14" s="49">
        <f>'2017 TUOS Ex GST'!E14*1.1</f>
        <v>0</v>
      </c>
      <c r="F14" s="43">
        <f>'2017 TUOS Ex GST'!F14*1.1</f>
        <v>2.7577000000000003</v>
      </c>
      <c r="G14" s="43">
        <f>'2017 TUOS Ex GST'!G14*1.1</f>
        <v>2.2077000000000004</v>
      </c>
      <c r="H14" s="43">
        <f>'2017 TUOS Ex GST'!H14*1.1</f>
        <v>0</v>
      </c>
      <c r="I14" s="43">
        <f>'2017 TUOS Ex GST'!I14*1.1</f>
        <v>0</v>
      </c>
      <c r="J14" s="43">
        <f>'2017 TUOS Ex GST'!J14*1.1</f>
        <v>0</v>
      </c>
      <c r="K14" s="43">
        <f>'2017 TUOS Ex GST'!K14*1.1</f>
        <v>0</v>
      </c>
      <c r="L14" s="43">
        <f>'2017 TUOS Ex GST'!L14*1.1</f>
        <v>0</v>
      </c>
      <c r="M14" s="44">
        <f>'2017 TUOS Ex GST'!M14*1.1</f>
        <v>0</v>
      </c>
      <c r="N14" s="43">
        <f>'2017 TUOS Ex GST'!N14*1.1</f>
        <v>0</v>
      </c>
      <c r="O14" s="43">
        <f>'2017 TUOS Ex GST'!O14*1.1</f>
        <v>0</v>
      </c>
      <c r="P14" s="44">
        <f>'2017 TUOS Ex GST'!P14*1.1</f>
        <v>0</v>
      </c>
      <c r="Q14" s="43">
        <f>'2017 TUOS Ex GST'!Q14*1.1</f>
        <v>0</v>
      </c>
      <c r="R14" s="66"/>
      <c r="S14" s="67"/>
      <c r="T14" s="68"/>
      <c r="U14" s="69"/>
    </row>
    <row r="15" spans="1:21" ht="27.75" customHeight="1" x14ac:dyDescent="0.2">
      <c r="A15" s="54"/>
      <c r="B15" s="19" t="s">
        <v>40</v>
      </c>
      <c r="C15" s="20" t="s">
        <v>41</v>
      </c>
      <c r="D15" s="58"/>
      <c r="E15" s="49">
        <f>'2017 TUOS Ex GST'!E15*1.1</f>
        <v>0</v>
      </c>
      <c r="F15" s="43">
        <f>'2017 TUOS Ex GST'!F15*1.1</f>
        <v>2.1461000000000001</v>
      </c>
      <c r="G15" s="43">
        <f>'2017 TUOS Ex GST'!G15*1.1</f>
        <v>1.7160000000000002</v>
      </c>
      <c r="H15" s="43">
        <f>'2017 TUOS Ex GST'!H15*1.1</f>
        <v>0</v>
      </c>
      <c r="I15" s="43">
        <f>'2017 TUOS Ex GST'!I15*1.1</f>
        <v>0</v>
      </c>
      <c r="J15" s="43">
        <f>'2017 TUOS Ex GST'!J15*1.1</f>
        <v>0</v>
      </c>
      <c r="K15" s="43">
        <f>'2017 TUOS Ex GST'!K15*1.1</f>
        <v>0</v>
      </c>
      <c r="L15" s="43">
        <f>'2017 TUOS Ex GST'!L15*1.1</f>
        <v>0</v>
      </c>
      <c r="M15" s="44">
        <f>'2017 TUOS Ex GST'!M15*1.1</f>
        <v>10.01</v>
      </c>
      <c r="N15" s="43">
        <f>'2017 TUOS Ex GST'!N15*1.1</f>
        <v>0</v>
      </c>
      <c r="O15" s="43">
        <f>'2017 TUOS Ex GST'!O15*1.1</f>
        <v>0</v>
      </c>
      <c r="P15" s="44">
        <f>'2017 TUOS Ex GST'!P15*1.1</f>
        <v>0</v>
      </c>
      <c r="Q15" s="43">
        <f>'2017 TUOS Ex GST'!Q15*1.1</f>
        <v>0</v>
      </c>
      <c r="R15" s="66"/>
      <c r="S15" s="67"/>
      <c r="T15" s="68"/>
      <c r="U15" s="69"/>
    </row>
    <row r="16" spans="1:21" ht="27.75" customHeight="1" x14ac:dyDescent="0.2">
      <c r="A16" s="54"/>
      <c r="B16" s="19" t="s">
        <v>42</v>
      </c>
      <c r="C16" s="20" t="s">
        <v>43</v>
      </c>
      <c r="D16" s="58"/>
      <c r="E16" s="49">
        <f>'2017 TUOS Ex GST'!E16*1.1</f>
        <v>0</v>
      </c>
      <c r="F16" s="43">
        <f>'2017 TUOS Ex GST'!F16*1.1</f>
        <v>1.1737</v>
      </c>
      <c r="G16" s="43">
        <f>'2017 TUOS Ex GST'!G16*1.1</f>
        <v>0.93830000000000002</v>
      </c>
      <c r="H16" s="43">
        <f>'2017 TUOS Ex GST'!H16*1.1</f>
        <v>0</v>
      </c>
      <c r="I16" s="43">
        <f>'2017 TUOS Ex GST'!I16*1.1</f>
        <v>0</v>
      </c>
      <c r="J16" s="43">
        <f>'2017 TUOS Ex GST'!J16*1.1</f>
        <v>0</v>
      </c>
      <c r="K16" s="43">
        <f>'2017 TUOS Ex GST'!K16*1.1</f>
        <v>0</v>
      </c>
      <c r="L16" s="43">
        <f>'2017 TUOS Ex GST'!L16*1.1</f>
        <v>0</v>
      </c>
      <c r="M16" s="44">
        <f>'2017 TUOS Ex GST'!M16*1.1</f>
        <v>10.519300000000001</v>
      </c>
      <c r="N16" s="43">
        <f>'2017 TUOS Ex GST'!N16*1.1</f>
        <v>0</v>
      </c>
      <c r="O16" s="43">
        <f>'2017 TUOS Ex GST'!O16*1.1</f>
        <v>0</v>
      </c>
      <c r="P16" s="44">
        <f>'2017 TUOS Ex GST'!P16*1.1</f>
        <v>0</v>
      </c>
      <c r="Q16" s="43">
        <f>'2017 TUOS Ex GST'!Q16*1.1</f>
        <v>0</v>
      </c>
      <c r="R16" s="66"/>
      <c r="S16" s="67"/>
      <c r="T16" s="68"/>
      <c r="U16" s="69"/>
    </row>
    <row r="17" spans="1:22" ht="27.75" customHeight="1" x14ac:dyDescent="0.2">
      <c r="A17" s="54"/>
      <c r="B17" s="19" t="s">
        <v>44</v>
      </c>
      <c r="C17" s="20" t="s">
        <v>45</v>
      </c>
      <c r="D17" s="58"/>
      <c r="E17" s="49">
        <f>'2017 TUOS Ex GST'!E17*1.1</f>
        <v>0</v>
      </c>
      <c r="F17" s="43">
        <f>'2017 TUOS Ex GST'!F17*1.1</f>
        <v>2.6675</v>
      </c>
      <c r="G17" s="43">
        <f>'2017 TUOS Ex GST'!G17*1.1</f>
        <v>2.1318000000000001</v>
      </c>
      <c r="H17" s="43">
        <f>'2017 TUOS Ex GST'!H17*1.1</f>
        <v>0</v>
      </c>
      <c r="I17" s="43">
        <f>'2017 TUOS Ex GST'!I17*1.1</f>
        <v>0</v>
      </c>
      <c r="J17" s="43">
        <f>'2017 TUOS Ex GST'!J17*1.1</f>
        <v>0</v>
      </c>
      <c r="K17" s="43">
        <f>'2017 TUOS Ex GST'!K17*1.1</f>
        <v>0</v>
      </c>
      <c r="L17" s="43">
        <f>'2017 TUOS Ex GST'!L17*1.1</f>
        <v>0</v>
      </c>
      <c r="M17" s="44">
        <f>'2017 TUOS Ex GST'!M17*1.1</f>
        <v>0</v>
      </c>
      <c r="N17" s="43">
        <f>'2017 TUOS Ex GST'!N17*1.1</f>
        <v>0</v>
      </c>
      <c r="O17" s="43">
        <f>'2017 TUOS Ex GST'!O17*1.1</f>
        <v>0</v>
      </c>
      <c r="P17" s="44">
        <f>'2017 TUOS Ex GST'!P17*1.1</f>
        <v>0</v>
      </c>
      <c r="Q17" s="43">
        <f>'2017 TUOS Ex GST'!Q17*1.1</f>
        <v>0</v>
      </c>
      <c r="R17" s="66"/>
      <c r="S17" s="67"/>
      <c r="T17" s="68"/>
      <c r="U17" s="69"/>
    </row>
    <row r="18" spans="1:22" ht="27.75" customHeight="1" x14ac:dyDescent="0.2">
      <c r="A18" s="54"/>
      <c r="B18" s="19" t="s">
        <v>46</v>
      </c>
      <c r="C18" s="20" t="s">
        <v>47</v>
      </c>
      <c r="D18" s="58"/>
      <c r="E18" s="49">
        <f>'2017 TUOS Ex GST'!E18*1.1</f>
        <v>0</v>
      </c>
      <c r="F18" s="43">
        <f>'2017 TUOS Ex GST'!F18*1.1</f>
        <v>2.0504000000000002</v>
      </c>
      <c r="G18" s="43">
        <f>'2017 TUOS Ex GST'!G18*1.1</f>
        <v>1.6423000000000003</v>
      </c>
      <c r="H18" s="43">
        <f>'2017 TUOS Ex GST'!H18*1.1</f>
        <v>0</v>
      </c>
      <c r="I18" s="43">
        <f>'2017 TUOS Ex GST'!I18*1.1</f>
        <v>0</v>
      </c>
      <c r="J18" s="43">
        <f>'2017 TUOS Ex GST'!J18*1.1</f>
        <v>0</v>
      </c>
      <c r="K18" s="43">
        <f>'2017 TUOS Ex GST'!K18*1.1</f>
        <v>0</v>
      </c>
      <c r="L18" s="43">
        <f>'2017 TUOS Ex GST'!L18*1.1</f>
        <v>0</v>
      </c>
      <c r="M18" s="44">
        <f>'2017 TUOS Ex GST'!M18*1.1</f>
        <v>0</v>
      </c>
      <c r="N18" s="43">
        <f>'2017 TUOS Ex GST'!N18*1.1</f>
        <v>0</v>
      </c>
      <c r="O18" s="43">
        <f>'2017 TUOS Ex GST'!O18*1.1</f>
        <v>0</v>
      </c>
      <c r="P18" s="44">
        <f>'2017 TUOS Ex GST'!P18*1.1</f>
        <v>0</v>
      </c>
      <c r="Q18" s="43">
        <f>'2017 TUOS Ex GST'!Q18*1.1</f>
        <v>0</v>
      </c>
      <c r="R18" s="66"/>
      <c r="S18" s="67"/>
      <c r="T18" s="68"/>
      <c r="U18" s="69"/>
    </row>
    <row r="19" spans="1:22" ht="27.75" customHeight="1" x14ac:dyDescent="0.2">
      <c r="A19" s="54"/>
      <c r="B19" s="19" t="s">
        <v>48</v>
      </c>
      <c r="C19" s="20" t="s">
        <v>49</v>
      </c>
      <c r="D19" s="58"/>
      <c r="E19" s="49">
        <f>'2017 TUOS Ex GST'!E19*1.1</f>
        <v>0</v>
      </c>
      <c r="F19" s="43">
        <f>'2017 TUOS Ex GST'!F19*1.1</f>
        <v>1.1693</v>
      </c>
      <c r="G19" s="43">
        <f>'2017 TUOS Ex GST'!G19*1.1</f>
        <v>0.93830000000000002</v>
      </c>
      <c r="H19" s="43">
        <f>'2017 TUOS Ex GST'!H19*1.1</f>
        <v>0</v>
      </c>
      <c r="I19" s="43">
        <f>'2017 TUOS Ex GST'!I19*1.1</f>
        <v>0</v>
      </c>
      <c r="J19" s="43">
        <f>'2017 TUOS Ex GST'!J19*1.1</f>
        <v>0</v>
      </c>
      <c r="K19" s="43">
        <f>'2017 TUOS Ex GST'!K19*1.1</f>
        <v>0</v>
      </c>
      <c r="L19" s="43">
        <f>'2017 TUOS Ex GST'!L19*1.1</f>
        <v>4.7729000000000008</v>
      </c>
      <c r="M19" s="44">
        <f>'2017 TUOS Ex GST'!M19*1.1</f>
        <v>6.5241000000000007</v>
      </c>
      <c r="N19" s="43">
        <f>'2017 TUOS Ex GST'!N19*1.1</f>
        <v>0</v>
      </c>
      <c r="O19" s="43">
        <f>'2017 TUOS Ex GST'!O19*1.1</f>
        <v>0</v>
      </c>
      <c r="P19" s="44">
        <f>'2017 TUOS Ex GST'!P19*1.1</f>
        <v>0</v>
      </c>
      <c r="Q19" s="43">
        <f>'2017 TUOS Ex GST'!Q19*1.1</f>
        <v>0</v>
      </c>
      <c r="R19" s="66" t="s">
        <v>50</v>
      </c>
      <c r="S19" s="67" t="s">
        <v>51</v>
      </c>
      <c r="T19" s="68">
        <v>150</v>
      </c>
      <c r="U19" s="69"/>
    </row>
    <row r="20" spans="1:22" ht="27.75" customHeight="1" x14ac:dyDescent="0.2">
      <c r="A20" s="54"/>
      <c r="B20" s="19" t="s">
        <v>52</v>
      </c>
      <c r="C20" s="20" t="s">
        <v>53</v>
      </c>
      <c r="D20" s="59"/>
      <c r="E20" s="49">
        <f>'2017 TUOS Ex GST'!E20*1.1</f>
        <v>0</v>
      </c>
      <c r="F20" s="43">
        <f>'2017 TUOS Ex GST'!F20*1.1</f>
        <v>0.73810000000000009</v>
      </c>
      <c r="G20" s="43">
        <f>'2017 TUOS Ex GST'!G20*1.1</f>
        <v>0.5918000000000001</v>
      </c>
      <c r="H20" s="43">
        <f>'2017 TUOS Ex GST'!H20*1.1</f>
        <v>0</v>
      </c>
      <c r="I20" s="43">
        <f>'2017 TUOS Ex GST'!I20*1.1</f>
        <v>0</v>
      </c>
      <c r="J20" s="43">
        <f>'2017 TUOS Ex GST'!J20*1.1</f>
        <v>0</v>
      </c>
      <c r="K20" s="43">
        <f>'2017 TUOS Ex GST'!K20*1.1</f>
        <v>0</v>
      </c>
      <c r="L20" s="43">
        <f>'2017 TUOS Ex GST'!L20*1.1</f>
        <v>3.0118</v>
      </c>
      <c r="M20" s="44">
        <f>'2017 TUOS Ex GST'!M20*1.1</f>
        <v>7.9200000000000008</v>
      </c>
      <c r="N20" s="43">
        <f>'2017 TUOS Ex GST'!N20*1.1</f>
        <v>0</v>
      </c>
      <c r="O20" s="43">
        <f>'2017 TUOS Ex GST'!O20*1.1</f>
        <v>0</v>
      </c>
      <c r="P20" s="44">
        <f>'2017 TUOS Ex GST'!P20*1.1</f>
        <v>0</v>
      </c>
      <c r="Q20" s="43">
        <f>'2017 TUOS Ex GST'!Q20*1.1</f>
        <v>0</v>
      </c>
      <c r="R20" s="66"/>
      <c r="S20" s="67"/>
      <c r="T20" s="68">
        <v>150</v>
      </c>
      <c r="U20" s="69"/>
      <c r="V20" s="32"/>
    </row>
    <row r="21" spans="1:22" ht="27.75" customHeight="1" x14ac:dyDescent="0.2">
      <c r="A21" s="54"/>
      <c r="B21" s="19" t="s">
        <v>54</v>
      </c>
      <c r="C21" s="20" t="s">
        <v>55</v>
      </c>
      <c r="D21" s="58"/>
      <c r="E21" s="49">
        <f>'2017 TUOS Ex GST'!E21*1.1</f>
        <v>0</v>
      </c>
      <c r="F21" s="43">
        <f>'2017 TUOS Ex GST'!F21*1.1</f>
        <v>0.8217000000000001</v>
      </c>
      <c r="G21" s="43">
        <f>'2017 TUOS Ex GST'!G21*1.1</f>
        <v>0.65780000000000005</v>
      </c>
      <c r="H21" s="43">
        <f>'2017 TUOS Ex GST'!H21*1.1</f>
        <v>0</v>
      </c>
      <c r="I21" s="43">
        <f>'2017 TUOS Ex GST'!I21*1.1</f>
        <v>0</v>
      </c>
      <c r="J21" s="43">
        <f>'2017 TUOS Ex GST'!J21*1.1</f>
        <v>0</v>
      </c>
      <c r="K21" s="43">
        <f>'2017 TUOS Ex GST'!K21*1.1</f>
        <v>0</v>
      </c>
      <c r="L21" s="43">
        <f>'2017 TUOS Ex GST'!L21*1.1</f>
        <v>5.4659000000000004</v>
      </c>
      <c r="M21" s="44">
        <f>'2017 TUOS Ex GST'!M21*1.1</f>
        <v>5.7376000000000005</v>
      </c>
      <c r="N21" s="43">
        <f>'2017 TUOS Ex GST'!N21*1.1</f>
        <v>0</v>
      </c>
      <c r="O21" s="43">
        <f>'2017 TUOS Ex GST'!O21*1.1</f>
        <v>0</v>
      </c>
      <c r="P21" s="44">
        <f>'2017 TUOS Ex GST'!P21*1.1</f>
        <v>0</v>
      </c>
      <c r="Q21" s="43">
        <f>'2017 TUOS Ex GST'!Q21*1.1</f>
        <v>0</v>
      </c>
      <c r="R21" s="66" t="s">
        <v>50</v>
      </c>
      <c r="S21" s="67" t="s">
        <v>51</v>
      </c>
      <c r="T21" s="68">
        <v>1150</v>
      </c>
      <c r="U21" s="69"/>
    </row>
    <row r="22" spans="1:22" ht="27.75" customHeight="1" x14ac:dyDescent="0.2">
      <c r="A22" s="54"/>
      <c r="B22" s="19" t="s">
        <v>56</v>
      </c>
      <c r="C22" s="20" t="s">
        <v>57</v>
      </c>
      <c r="D22" s="59"/>
      <c r="E22" s="49">
        <f>'2017 TUOS Ex GST'!E22*1.1</f>
        <v>0</v>
      </c>
      <c r="F22" s="43">
        <f>'2017 TUOS Ex GST'!F22*1.1</f>
        <v>0.47300000000000003</v>
      </c>
      <c r="G22" s="43">
        <f>'2017 TUOS Ex GST'!G22*1.1</f>
        <v>0.37620000000000003</v>
      </c>
      <c r="H22" s="43">
        <f>'2017 TUOS Ex GST'!H22*1.1</f>
        <v>0</v>
      </c>
      <c r="I22" s="43">
        <f>'2017 TUOS Ex GST'!I22*1.1</f>
        <v>0</v>
      </c>
      <c r="J22" s="43">
        <f>'2017 TUOS Ex GST'!J22*1.1</f>
        <v>0</v>
      </c>
      <c r="K22" s="43">
        <f>'2017 TUOS Ex GST'!K22*1.1</f>
        <v>0</v>
      </c>
      <c r="L22" s="43">
        <f>'2017 TUOS Ex GST'!L22*1.1</f>
        <v>3.1339000000000006</v>
      </c>
      <c r="M22" s="44">
        <f>'2017 TUOS Ex GST'!M22*1.1</f>
        <v>6.3261000000000012</v>
      </c>
      <c r="N22" s="43">
        <f>'2017 TUOS Ex GST'!N22*1.1</f>
        <v>0</v>
      </c>
      <c r="O22" s="43">
        <f>'2017 TUOS Ex GST'!O22*1.1</f>
        <v>0</v>
      </c>
      <c r="P22" s="44">
        <f>'2017 TUOS Ex GST'!P22*1.1</f>
        <v>0</v>
      </c>
      <c r="Q22" s="43">
        <f>'2017 TUOS Ex GST'!Q22*1.1</f>
        <v>0</v>
      </c>
      <c r="R22" s="66"/>
      <c r="S22" s="67"/>
      <c r="T22" s="68">
        <v>1150</v>
      </c>
      <c r="U22" s="69"/>
      <c r="V22" s="32"/>
    </row>
    <row r="23" spans="1:22" ht="27.75" customHeight="1" x14ac:dyDescent="0.2">
      <c r="A23" s="54"/>
      <c r="B23" s="19" t="s">
        <v>58</v>
      </c>
      <c r="C23" s="20" t="s">
        <v>59</v>
      </c>
      <c r="D23" s="58"/>
      <c r="E23" s="49">
        <f>'2017 TUOS Ex GST'!E23*1.1</f>
        <v>0</v>
      </c>
      <c r="F23" s="43">
        <f>'2017 TUOS Ex GST'!F23*1.1</f>
        <v>0.5544</v>
      </c>
      <c r="G23" s="43">
        <f>'2017 TUOS Ex GST'!G23*1.1</f>
        <v>0.44660000000000005</v>
      </c>
      <c r="H23" s="43">
        <f>'2017 TUOS Ex GST'!H23*1.1</f>
        <v>0</v>
      </c>
      <c r="I23" s="43">
        <f>'2017 TUOS Ex GST'!I23*1.1</f>
        <v>0</v>
      </c>
      <c r="J23" s="43">
        <f>'2017 TUOS Ex GST'!J23*1.1</f>
        <v>0</v>
      </c>
      <c r="K23" s="43">
        <f>'2017 TUOS Ex GST'!K23*1.1</f>
        <v>0</v>
      </c>
      <c r="L23" s="43">
        <f>'2017 TUOS Ex GST'!L23*1.1</f>
        <v>3.9292000000000002</v>
      </c>
      <c r="M23" s="44">
        <f>'2017 TUOS Ex GST'!M23*1.1</f>
        <v>4.7674000000000003</v>
      </c>
      <c r="N23" s="43">
        <f>'2017 TUOS Ex GST'!N23*1.1</f>
        <v>0</v>
      </c>
      <c r="O23" s="43">
        <f>'2017 TUOS Ex GST'!O23*1.1</f>
        <v>0</v>
      </c>
      <c r="P23" s="44">
        <f>'2017 TUOS Ex GST'!P23*1.1</f>
        <v>0</v>
      </c>
      <c r="Q23" s="43">
        <f>'2017 TUOS Ex GST'!Q23*1.1</f>
        <v>0</v>
      </c>
      <c r="R23" s="66"/>
      <c r="S23" s="67"/>
      <c r="T23" s="68">
        <v>11100</v>
      </c>
      <c r="U23" s="69"/>
    </row>
    <row r="24" spans="1:22" ht="27.75" customHeight="1" x14ac:dyDescent="0.2">
      <c r="A24" s="54"/>
      <c r="B24" s="19" t="s">
        <v>60</v>
      </c>
      <c r="C24" s="20" t="s">
        <v>61</v>
      </c>
      <c r="D24" s="58" t="s">
        <v>99</v>
      </c>
      <c r="E24" s="49">
        <f>'2017 TUOS Ex GST'!E24*1.1</f>
        <v>0</v>
      </c>
      <c r="F24" s="43">
        <f>'2017 TUOS Ex GST'!F24*1.1</f>
        <v>3.6883000000000004</v>
      </c>
      <c r="G24" s="43">
        <f>'2017 TUOS Ex GST'!G24*1.1</f>
        <v>3.1306000000000003</v>
      </c>
      <c r="H24" s="43">
        <f>'2017 TUOS Ex GST'!H24*1.1</f>
        <v>0</v>
      </c>
      <c r="I24" s="43">
        <f>'2017 TUOS Ex GST'!I24*1.1</f>
        <v>3.1306000000000003</v>
      </c>
      <c r="J24" s="43">
        <f>'2017 TUOS Ex GST'!J24*1.1</f>
        <v>2.7643</v>
      </c>
      <c r="K24" s="43">
        <f>'2017 TUOS Ex GST'!K24*1.1</f>
        <v>0</v>
      </c>
      <c r="L24" s="43">
        <f>'2017 TUOS Ex GST'!L24*1.1</f>
        <v>0</v>
      </c>
      <c r="M24" s="44">
        <f>'2017 TUOS Ex GST'!M24*1.1</f>
        <v>0</v>
      </c>
      <c r="N24" s="43">
        <f>'2017 TUOS Ex GST'!N24*1.1</f>
        <v>0</v>
      </c>
      <c r="O24" s="43">
        <f>'2017 TUOS Ex GST'!O24*1.1</f>
        <v>0</v>
      </c>
      <c r="P24" s="44">
        <f>'2017 TUOS Ex GST'!P24*1.1</f>
        <v>0</v>
      </c>
      <c r="Q24" s="43">
        <f>'2017 TUOS Ex GST'!Q24*1.1</f>
        <v>0</v>
      </c>
      <c r="R24" s="66" t="s">
        <v>20</v>
      </c>
      <c r="S24" s="67" t="s">
        <v>21</v>
      </c>
      <c r="T24" s="68"/>
      <c r="U24" s="69"/>
    </row>
    <row r="25" spans="1:22" ht="27.75" customHeight="1" x14ac:dyDescent="0.2">
      <c r="A25" s="54"/>
      <c r="B25" s="19" t="s">
        <v>62</v>
      </c>
      <c r="C25" s="20" t="s">
        <v>63</v>
      </c>
      <c r="D25" s="58" t="s">
        <v>99</v>
      </c>
      <c r="E25" s="49">
        <f>'2017 TUOS Ex GST'!E25*1.1</f>
        <v>0</v>
      </c>
      <c r="F25" s="43">
        <f>'2017 TUOS Ex GST'!F25*1.1</f>
        <v>2.7401000000000004</v>
      </c>
      <c r="G25" s="43">
        <f>'2017 TUOS Ex GST'!G25*1.1</f>
        <v>1.2584</v>
      </c>
      <c r="H25" s="43">
        <f>'2017 TUOS Ex GST'!H25*1.1</f>
        <v>0</v>
      </c>
      <c r="I25" s="43">
        <f>'2017 TUOS Ex GST'!I25*1.1</f>
        <v>0</v>
      </c>
      <c r="J25" s="43">
        <f>'2017 TUOS Ex GST'!J25*1.1</f>
        <v>0</v>
      </c>
      <c r="K25" s="43">
        <f>'2017 TUOS Ex GST'!K25*1.1</f>
        <v>0</v>
      </c>
      <c r="L25" s="43">
        <f>'2017 TUOS Ex GST'!L25*1.1</f>
        <v>0</v>
      </c>
      <c r="M25" s="44">
        <f>'2017 TUOS Ex GST'!M25*1.1</f>
        <v>7.1797000000000004</v>
      </c>
      <c r="N25" s="43">
        <f>'2017 TUOS Ex GST'!N25*1.1</f>
        <v>0</v>
      </c>
      <c r="O25" s="43">
        <f>'2017 TUOS Ex GST'!O25*1.1</f>
        <v>0</v>
      </c>
      <c r="P25" s="44">
        <f>'2017 TUOS Ex GST'!P25*1.1</f>
        <v>0</v>
      </c>
      <c r="Q25" s="43">
        <f>'2017 TUOS Ex GST'!Q25*1.1</f>
        <v>0</v>
      </c>
      <c r="R25" s="66" t="s">
        <v>20</v>
      </c>
      <c r="S25" s="67" t="s">
        <v>35</v>
      </c>
      <c r="T25" s="68"/>
      <c r="U25" s="69"/>
    </row>
    <row r="26" spans="1:22" ht="27.75" customHeight="1" x14ac:dyDescent="0.2">
      <c r="A26" s="54"/>
      <c r="B26" s="19" t="s">
        <v>64</v>
      </c>
      <c r="C26" s="20" t="s">
        <v>65</v>
      </c>
      <c r="D26" s="58" t="s">
        <v>99</v>
      </c>
      <c r="E26" s="49">
        <f>'2017 TUOS Ex GST'!E26*1.1</f>
        <v>0</v>
      </c>
      <c r="F26" s="43">
        <f>'2017 TUOS Ex GST'!F26*1.1</f>
        <v>4.95</v>
      </c>
      <c r="G26" s="43">
        <f>'2017 TUOS Ex GST'!G26*1.1</f>
        <v>4.6013000000000002</v>
      </c>
      <c r="H26" s="43">
        <f>'2017 TUOS Ex GST'!H26*1.1</f>
        <v>0</v>
      </c>
      <c r="I26" s="43">
        <f>'2017 TUOS Ex GST'!I26*1.1</f>
        <v>4.6013000000000002</v>
      </c>
      <c r="J26" s="43">
        <f>'2017 TUOS Ex GST'!J26*1.1</f>
        <v>4.3725000000000005</v>
      </c>
      <c r="K26" s="43">
        <f>'2017 TUOS Ex GST'!K26*1.1</f>
        <v>0</v>
      </c>
      <c r="L26" s="43">
        <f>'2017 TUOS Ex GST'!L26*1.1</f>
        <v>0</v>
      </c>
      <c r="M26" s="44">
        <f>'2017 TUOS Ex GST'!M26*1.1</f>
        <v>0</v>
      </c>
      <c r="N26" s="43">
        <f>'2017 TUOS Ex GST'!N26*1.1</f>
        <v>0</v>
      </c>
      <c r="O26" s="43">
        <f>'2017 TUOS Ex GST'!O26*1.1</f>
        <v>0</v>
      </c>
      <c r="P26" s="44">
        <f>'2017 TUOS Ex GST'!P26*1.1</f>
        <v>0</v>
      </c>
      <c r="Q26" s="43">
        <f>'2017 TUOS Ex GST'!Q26*1.1</f>
        <v>0</v>
      </c>
      <c r="R26" s="66" t="s">
        <v>20</v>
      </c>
      <c r="S26" s="67" t="s">
        <v>21</v>
      </c>
      <c r="T26" s="68"/>
      <c r="U26" s="69"/>
    </row>
    <row r="27" spans="1:22" ht="27.75" customHeight="1" x14ac:dyDescent="0.2">
      <c r="A27" s="54"/>
      <c r="B27" s="21" t="s">
        <v>66</v>
      </c>
      <c r="C27" s="22" t="s">
        <v>67</v>
      </c>
      <c r="D27" s="60" t="s">
        <v>99</v>
      </c>
      <c r="E27" s="40">
        <f>'2017 TUOS Ex GST'!E27*1.1</f>
        <v>0</v>
      </c>
      <c r="F27" s="41">
        <f>'2017 TUOS Ex GST'!F27*1.1</f>
        <v>4.1855000000000002</v>
      </c>
      <c r="G27" s="41">
        <f>'2017 TUOS Ex GST'!G27*1.1</f>
        <v>3.9039000000000001</v>
      </c>
      <c r="H27" s="41">
        <f>'2017 TUOS Ex GST'!H27*1.1</f>
        <v>0</v>
      </c>
      <c r="I27" s="41">
        <f>'2017 TUOS Ex GST'!I27*1.1</f>
        <v>2.0911000000000004</v>
      </c>
      <c r="J27" s="41">
        <f>'2017 TUOS Ex GST'!J27*1.1</f>
        <v>1.8447000000000002</v>
      </c>
      <c r="K27" s="41">
        <f>'2017 TUOS Ex GST'!K27*1.1</f>
        <v>0</v>
      </c>
      <c r="L27" s="41">
        <f>'2017 TUOS Ex GST'!L27*1.1</f>
        <v>0</v>
      </c>
      <c r="M27" s="42">
        <f>'2017 TUOS Ex GST'!M27*1.1</f>
        <v>0</v>
      </c>
      <c r="N27" s="41">
        <f>'2017 TUOS Ex GST'!N27*1.1</f>
        <v>0</v>
      </c>
      <c r="O27" s="43">
        <f>'2017 TUOS Ex GST'!O27*1.1</f>
        <v>0</v>
      </c>
      <c r="P27" s="44">
        <f>'2017 TUOS Ex GST'!P27*1.1</f>
        <v>0</v>
      </c>
      <c r="Q27" s="43">
        <f>'2017 TUOS Ex GST'!Q27*1.1</f>
        <v>0</v>
      </c>
      <c r="R27" s="115" t="s">
        <v>68</v>
      </c>
      <c r="S27" s="116"/>
      <c r="T27" s="45"/>
      <c r="U27" s="46"/>
    </row>
    <row r="28" spans="1:22" ht="27.75" customHeight="1" x14ac:dyDescent="0.2">
      <c r="A28" s="54"/>
      <c r="B28" s="37" t="s">
        <v>102</v>
      </c>
      <c r="C28" s="36" t="s">
        <v>104</v>
      </c>
      <c r="D28" s="60" t="s">
        <v>99</v>
      </c>
      <c r="E28" s="40">
        <f>'2017 TUOS Ex GST'!E28*1.1</f>
        <v>0</v>
      </c>
      <c r="F28" s="41">
        <f>'2017 TUOS Ex GST'!F28*1.1</f>
        <v>0.76890000000000003</v>
      </c>
      <c r="G28" s="41">
        <f>'2017 TUOS Ex GST'!G28*1.1</f>
        <v>0.76890000000000003</v>
      </c>
      <c r="H28" s="41">
        <f>'2017 TUOS Ex GST'!H28*1.1</f>
        <v>0.76890000000000003</v>
      </c>
      <c r="I28" s="41">
        <f>'2017 TUOS Ex GST'!I28*1.1</f>
        <v>0.76890000000000003</v>
      </c>
      <c r="J28" s="41">
        <f>'2017 TUOS Ex GST'!J28*1.1</f>
        <v>0.76890000000000003</v>
      </c>
      <c r="K28" s="41">
        <f>'2017 TUOS Ex GST'!K28*1.1</f>
        <v>0.76890000000000003</v>
      </c>
      <c r="L28" s="41">
        <f>'2017 TUOS Ex GST'!L28*1.1</f>
        <v>0</v>
      </c>
      <c r="M28" s="42">
        <f>'2017 TUOS Ex GST'!M28*1.1</f>
        <v>0</v>
      </c>
      <c r="N28" s="41">
        <f>'2017 TUOS Ex GST'!N28*1.1</f>
        <v>5.7618000000000009</v>
      </c>
      <c r="O28" s="43">
        <f>'2017 TUOS Ex GST'!O28*1.1</f>
        <v>3.7455000000000003</v>
      </c>
      <c r="P28" s="44">
        <f>'2017 TUOS Ex GST'!P28*1.1</f>
        <v>0</v>
      </c>
      <c r="Q28" s="43">
        <f>'2017 TUOS Ex GST'!Q28*1.1</f>
        <v>0</v>
      </c>
      <c r="R28" s="66" t="s">
        <v>20</v>
      </c>
      <c r="S28" s="67" t="s">
        <v>21</v>
      </c>
      <c r="T28" s="45"/>
      <c r="U28" s="73">
        <v>1.5</v>
      </c>
      <c r="V28" s="32"/>
    </row>
    <row r="29" spans="1:22" ht="27.75" customHeight="1" x14ac:dyDescent="0.2">
      <c r="A29" s="54"/>
      <c r="B29" s="37" t="s">
        <v>103</v>
      </c>
      <c r="C29" s="36" t="s">
        <v>106</v>
      </c>
      <c r="D29" s="60" t="s">
        <v>99</v>
      </c>
      <c r="E29" s="40">
        <f>'2017 TUOS Ex GST'!E29*1.1</f>
        <v>0</v>
      </c>
      <c r="F29" s="41">
        <f>'2017 TUOS Ex GST'!F29*1.1</f>
        <v>0.97240000000000004</v>
      </c>
      <c r="G29" s="41">
        <f>'2017 TUOS Ex GST'!G29*1.1</f>
        <v>0.97240000000000004</v>
      </c>
      <c r="H29" s="41">
        <f>'2017 TUOS Ex GST'!H29*1.1</f>
        <v>0.97240000000000004</v>
      </c>
      <c r="I29" s="41">
        <f>'2017 TUOS Ex GST'!I29*1.1</f>
        <v>0.97240000000000004</v>
      </c>
      <c r="J29" s="41">
        <f>'2017 TUOS Ex GST'!J29*1.1</f>
        <v>0.97240000000000004</v>
      </c>
      <c r="K29" s="41">
        <f>'2017 TUOS Ex GST'!K29*1.1</f>
        <v>0.97240000000000004</v>
      </c>
      <c r="L29" s="41">
        <f>'2017 TUOS Ex GST'!L29*1.1</f>
        <v>0</v>
      </c>
      <c r="M29" s="42">
        <f>'2017 TUOS Ex GST'!M29*1.1</f>
        <v>0</v>
      </c>
      <c r="N29" s="41">
        <f>'2017 TUOS Ex GST'!N29*1.1</f>
        <v>8.0410000000000004</v>
      </c>
      <c r="O29" s="43">
        <f>'2017 TUOS Ex GST'!O29*1.1</f>
        <v>5.3613999999999997</v>
      </c>
      <c r="P29" s="44">
        <f>'2017 TUOS Ex GST'!P29*1.1</f>
        <v>0</v>
      </c>
      <c r="Q29" s="43">
        <f>'2017 TUOS Ex GST'!Q29*1.1</f>
        <v>0</v>
      </c>
      <c r="R29" s="66" t="s">
        <v>20</v>
      </c>
      <c r="S29" s="67" t="s">
        <v>35</v>
      </c>
      <c r="T29" s="45"/>
      <c r="U29" s="73">
        <v>1.5</v>
      </c>
      <c r="V29" s="32"/>
    </row>
    <row r="30" spans="1:22" ht="27.75" customHeight="1" thickBot="1" x14ac:dyDescent="0.25">
      <c r="A30" s="54"/>
      <c r="B30" s="37" t="s">
        <v>105</v>
      </c>
      <c r="C30" s="36" t="s">
        <v>107</v>
      </c>
      <c r="D30" s="60" t="s">
        <v>99</v>
      </c>
      <c r="E30" s="40">
        <f>'2017 TUOS Ex GST'!E30*1.1</f>
        <v>0</v>
      </c>
      <c r="F30" s="41">
        <f>'2017 TUOS Ex GST'!F30*1.1</f>
        <v>1.4652000000000003</v>
      </c>
      <c r="G30" s="41">
        <f>'2017 TUOS Ex GST'!G30*1.1</f>
        <v>1.4652000000000003</v>
      </c>
      <c r="H30" s="41">
        <f>'2017 TUOS Ex GST'!H30*1.1</f>
        <v>1.4652000000000003</v>
      </c>
      <c r="I30" s="41">
        <f>'2017 TUOS Ex GST'!I30*1.1</f>
        <v>1.4652000000000003</v>
      </c>
      <c r="J30" s="41">
        <f>'2017 TUOS Ex GST'!J30*1.1</f>
        <v>1.4652000000000003</v>
      </c>
      <c r="K30" s="41">
        <f>'2017 TUOS Ex GST'!K30*1.1</f>
        <v>1.4652000000000003</v>
      </c>
      <c r="L30" s="41">
        <f>'2017 TUOS Ex GST'!L30*1.1</f>
        <v>0</v>
      </c>
      <c r="M30" s="42">
        <f>'2017 TUOS Ex GST'!M30*1.1</f>
        <v>0</v>
      </c>
      <c r="N30" s="41">
        <f>'2017 TUOS Ex GST'!N30*1.1</f>
        <v>4.910400000000001</v>
      </c>
      <c r="O30" s="43">
        <f>'2017 TUOS Ex GST'!O30*1.1</f>
        <v>3.2736000000000001</v>
      </c>
      <c r="P30" s="44">
        <f>'2017 TUOS Ex GST'!P30*1.1</f>
        <v>0</v>
      </c>
      <c r="Q30" s="43">
        <f>'2017 TUOS Ex GST'!Q30*1.1</f>
        <v>0</v>
      </c>
      <c r="R30" s="66" t="s">
        <v>20</v>
      </c>
      <c r="S30" s="67" t="s">
        <v>98</v>
      </c>
      <c r="T30" s="68"/>
      <c r="U30" s="73">
        <v>1.5</v>
      </c>
    </row>
    <row r="31" spans="1:22" ht="15" customHeight="1" thickBot="1" x14ac:dyDescent="0.25">
      <c r="B31" s="18"/>
      <c r="C31" s="23"/>
      <c r="D31" s="6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74"/>
      <c r="S31" s="74"/>
      <c r="T31" s="74"/>
      <c r="U31" s="75"/>
    </row>
    <row r="32" spans="1:22" ht="15" customHeight="1" x14ac:dyDescent="0.2">
      <c r="B32" s="18"/>
      <c r="C32" s="23"/>
      <c r="D32" s="23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3"/>
      <c r="S32" s="23"/>
      <c r="T32" s="23"/>
      <c r="U32" s="25"/>
    </row>
    <row r="33" spans="1:21" ht="16.149999999999999" customHeight="1" x14ac:dyDescent="0.2">
      <c r="B33" s="38" t="s">
        <v>69</v>
      </c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7"/>
    </row>
    <row r="34" spans="1:21" ht="16.149999999999999" customHeight="1" x14ac:dyDescent="0.2">
      <c r="B34" s="38" t="s">
        <v>70</v>
      </c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7"/>
    </row>
    <row r="35" spans="1:21" ht="16.149999999999999" customHeight="1" x14ac:dyDescent="0.2">
      <c r="B35" s="39" t="s">
        <v>71</v>
      </c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7"/>
    </row>
    <row r="36" spans="1:21" ht="16.149999999999999" customHeight="1" x14ac:dyDescent="0.2">
      <c r="B36" s="39" t="s">
        <v>72</v>
      </c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7"/>
    </row>
    <row r="37" spans="1:21" ht="16.149999999999999" customHeight="1" x14ac:dyDescent="0.2">
      <c r="B37" s="38" t="s">
        <v>73</v>
      </c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7"/>
    </row>
    <row r="38" spans="1:21" ht="16.149999999999999" customHeight="1" x14ac:dyDescent="0.2">
      <c r="B38" s="56" t="s">
        <v>101</v>
      </c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7"/>
    </row>
    <row r="39" spans="1:21" ht="16.149999999999999" customHeight="1" x14ac:dyDescent="0.2">
      <c r="B39" s="56" t="s">
        <v>112</v>
      </c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7"/>
    </row>
    <row r="40" spans="1:21" ht="16.149999999999999" customHeight="1" x14ac:dyDescent="0.2">
      <c r="B40" s="56" t="s">
        <v>114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7"/>
    </row>
    <row r="41" spans="1:21" ht="15" customHeight="1" thickBot="1" x14ac:dyDescent="0.25">
      <c r="B41" s="28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30"/>
    </row>
    <row r="42" spans="1:21" x14ac:dyDescent="0.2"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31"/>
      <c r="O42" s="31"/>
      <c r="P42" s="26"/>
      <c r="Q42" s="26"/>
      <c r="R42" s="26"/>
      <c r="S42" s="26"/>
      <c r="T42" s="26"/>
      <c r="U42" s="26"/>
    </row>
    <row r="43" spans="1:21" x14ac:dyDescent="0.2">
      <c r="B43" s="26"/>
      <c r="C43" s="26"/>
      <c r="D43" s="26"/>
      <c r="S43" s="26"/>
      <c r="T43" s="26"/>
      <c r="U43" s="26"/>
    </row>
    <row r="44" spans="1:21" x14ac:dyDescent="0.2">
      <c r="A44"/>
    </row>
    <row r="45" spans="1:21" x14ac:dyDescent="0.2">
      <c r="A45"/>
    </row>
    <row r="46" spans="1:21" x14ac:dyDescent="0.2">
      <c r="A46"/>
    </row>
    <row r="47" spans="1:21" x14ac:dyDescent="0.2">
      <c r="A47"/>
    </row>
    <row r="48" spans="1:21" x14ac:dyDescent="0.2">
      <c r="A48"/>
    </row>
    <row r="49" spans="1:1" x14ac:dyDescent="0.2">
      <c r="A49"/>
    </row>
    <row r="50" spans="1:1" x14ac:dyDescent="0.2">
      <c r="A50"/>
    </row>
    <row r="51" spans="1:1" x14ac:dyDescent="0.2">
      <c r="A51"/>
    </row>
    <row r="52" spans="1:1" x14ac:dyDescent="0.2">
      <c r="A52"/>
    </row>
    <row r="53" spans="1:1" x14ac:dyDescent="0.2">
      <c r="A53"/>
    </row>
    <row r="54" spans="1:1" x14ac:dyDescent="0.2">
      <c r="A54"/>
    </row>
    <row r="55" spans="1:1" x14ac:dyDescent="0.2">
      <c r="A55"/>
    </row>
    <row r="56" spans="1:1" x14ac:dyDescent="0.2">
      <c r="A56"/>
    </row>
    <row r="57" spans="1:1" x14ac:dyDescent="0.2">
      <c r="A57"/>
    </row>
    <row r="58" spans="1:1" x14ac:dyDescent="0.2">
      <c r="A58"/>
    </row>
    <row r="59" spans="1:1" x14ac:dyDescent="0.2">
      <c r="A59"/>
    </row>
    <row r="60" spans="1:1" x14ac:dyDescent="0.2">
      <c r="A60"/>
    </row>
    <row r="61" spans="1:1" x14ac:dyDescent="0.2">
      <c r="A61"/>
    </row>
    <row r="62" spans="1:1" x14ac:dyDescent="0.2">
      <c r="A62"/>
    </row>
    <row r="63" spans="1:1" x14ac:dyDescent="0.2">
      <c r="A63"/>
    </row>
    <row r="64" spans="1:1" x14ac:dyDescent="0.2">
      <c r="A64"/>
    </row>
    <row r="65" spans="1:1" x14ac:dyDescent="0.2">
      <c r="A65"/>
    </row>
    <row r="66" spans="1:1" x14ac:dyDescent="0.2">
      <c r="A66"/>
    </row>
    <row r="67" spans="1:1" x14ac:dyDescent="0.2">
      <c r="A67"/>
    </row>
    <row r="68" spans="1:1" x14ac:dyDescent="0.2">
      <c r="A68"/>
    </row>
    <row r="69" spans="1:1" x14ac:dyDescent="0.2">
      <c r="A69"/>
    </row>
    <row r="70" spans="1:1" x14ac:dyDescent="0.2">
      <c r="A70"/>
    </row>
    <row r="71" spans="1:1" x14ac:dyDescent="0.2">
      <c r="A71"/>
    </row>
    <row r="72" spans="1:1" x14ac:dyDescent="0.2">
      <c r="A72"/>
    </row>
    <row r="73" spans="1:1" x14ac:dyDescent="0.2">
      <c r="A73"/>
    </row>
    <row r="74" spans="1:1" x14ac:dyDescent="0.2">
      <c r="A74"/>
    </row>
    <row r="75" spans="1:1" x14ac:dyDescent="0.2">
      <c r="A75"/>
    </row>
    <row r="76" spans="1:1" x14ac:dyDescent="0.2">
      <c r="A76"/>
    </row>
    <row r="77" spans="1:1" x14ac:dyDescent="0.2">
      <c r="A77"/>
    </row>
    <row r="78" spans="1:1" x14ac:dyDescent="0.2">
      <c r="A78"/>
    </row>
    <row r="79" spans="1:1" x14ac:dyDescent="0.2">
      <c r="A79"/>
    </row>
    <row r="80" spans="1:1" x14ac:dyDescent="0.2">
      <c r="A80"/>
    </row>
    <row r="81" spans="1:1" x14ac:dyDescent="0.2">
      <c r="A81"/>
    </row>
    <row r="82" spans="1:1" x14ac:dyDescent="0.2">
      <c r="A82"/>
    </row>
    <row r="83" spans="1:1" x14ac:dyDescent="0.2">
      <c r="A83"/>
    </row>
    <row r="84" spans="1:1" x14ac:dyDescent="0.2">
      <c r="A84"/>
    </row>
    <row r="85" spans="1:1" x14ac:dyDescent="0.2">
      <c r="A85"/>
    </row>
    <row r="86" spans="1:1" x14ac:dyDescent="0.2">
      <c r="A86"/>
    </row>
    <row r="87" spans="1:1" x14ac:dyDescent="0.2">
      <c r="A87"/>
    </row>
    <row r="88" spans="1:1" x14ac:dyDescent="0.2">
      <c r="A88"/>
    </row>
    <row r="89" spans="1:1" x14ac:dyDescent="0.2">
      <c r="A89"/>
    </row>
    <row r="90" spans="1:1" x14ac:dyDescent="0.2">
      <c r="A90"/>
    </row>
    <row r="91" spans="1:1" x14ac:dyDescent="0.2">
      <c r="A91"/>
    </row>
    <row r="92" spans="1:1" x14ac:dyDescent="0.2">
      <c r="A92"/>
    </row>
    <row r="93" spans="1:1" x14ac:dyDescent="0.2">
      <c r="A93"/>
    </row>
    <row r="94" spans="1:1" x14ac:dyDescent="0.2">
      <c r="A94"/>
    </row>
    <row r="95" spans="1:1" x14ac:dyDescent="0.2">
      <c r="A95"/>
    </row>
  </sheetData>
  <mergeCells count="4">
    <mergeCell ref="B2:T2"/>
    <mergeCell ref="E4:Q4"/>
    <mergeCell ref="R4:S4"/>
    <mergeCell ref="R27:S27"/>
  </mergeCells>
  <pageMargins left="0.74803149606299213" right="0.74803149606299213" top="0.39370078740157483" bottom="0.11811023622047245" header="0.11811023622047245" footer="0.11811023622047245"/>
  <pageSetup paperSize="9" scale="45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V95"/>
  <sheetViews>
    <sheetView showGridLines="0" showZeros="0" zoomScale="60" zoomScaleNormal="60" workbookViewId="0">
      <selection activeCell="F30" sqref="F30"/>
    </sheetView>
  </sheetViews>
  <sheetFormatPr defaultRowHeight="12.75" x14ac:dyDescent="0.2"/>
  <cols>
    <col min="1" max="1" width="4.7109375" style="52" customWidth="1"/>
    <col min="2" max="2" width="27.7109375" customWidth="1"/>
    <col min="3" max="3" width="21.85546875" customWidth="1"/>
    <col min="4" max="4" width="10.42578125" customWidth="1"/>
    <col min="5" max="6" width="11.140625" customWidth="1"/>
    <col min="7" max="7" width="13.5703125" customWidth="1"/>
    <col min="8" max="11" width="11.140625" customWidth="1"/>
    <col min="12" max="13" width="13.28515625" customWidth="1"/>
    <col min="14" max="17" width="12.28515625" customWidth="1"/>
    <col min="18" max="19" width="11.7109375" customWidth="1"/>
    <col min="20" max="21" width="14.28515625" customWidth="1"/>
    <col min="22" max="22" width="9.5703125" customWidth="1"/>
  </cols>
  <sheetData>
    <row r="1" spans="1:21" ht="12.75" customHeight="1" thickBot="1" x14ac:dyDescent="0.25"/>
    <row r="2" spans="1:21" s="2" customFormat="1" ht="18" x14ac:dyDescent="0.25">
      <c r="A2" s="53"/>
      <c r="B2" s="108" t="s">
        <v>89</v>
      </c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"/>
    </row>
    <row r="3" spans="1:21" s="2" customFormat="1" ht="18.75" thickBot="1" x14ac:dyDescent="0.3">
      <c r="A3" s="53"/>
      <c r="B3" s="33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5"/>
    </row>
    <row r="4" spans="1:21" s="6" customFormat="1" ht="63" customHeight="1" thickBot="1" x14ac:dyDescent="0.25">
      <c r="B4" s="3"/>
      <c r="C4" s="4"/>
      <c r="D4" s="4"/>
      <c r="E4" s="110" t="s">
        <v>0</v>
      </c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2"/>
      <c r="R4" s="113" t="s">
        <v>1</v>
      </c>
      <c r="S4" s="114"/>
      <c r="T4" s="5" t="s">
        <v>2</v>
      </c>
      <c r="U4" s="5" t="s">
        <v>3</v>
      </c>
    </row>
    <row r="5" spans="1:21" s="6" customFormat="1" ht="99" customHeight="1" thickBot="1" x14ac:dyDescent="0.25">
      <c r="B5" s="7" t="s">
        <v>4</v>
      </c>
      <c r="C5" s="8" t="s">
        <v>5</v>
      </c>
      <c r="D5" s="9" t="s">
        <v>6</v>
      </c>
      <c r="E5" s="10" t="s">
        <v>7</v>
      </c>
      <c r="F5" s="11" t="s">
        <v>8</v>
      </c>
      <c r="G5" s="11" t="s">
        <v>9</v>
      </c>
      <c r="H5" s="11" t="s">
        <v>10</v>
      </c>
      <c r="I5" s="11" t="s">
        <v>11</v>
      </c>
      <c r="J5" s="11" t="s">
        <v>12</v>
      </c>
      <c r="K5" s="11" t="s">
        <v>13</v>
      </c>
      <c r="L5" s="11" t="s">
        <v>14</v>
      </c>
      <c r="M5" s="12" t="s">
        <v>15</v>
      </c>
      <c r="N5" s="12" t="s">
        <v>77</v>
      </c>
      <c r="O5" s="12" t="s">
        <v>76</v>
      </c>
      <c r="P5" s="12" t="s">
        <v>74</v>
      </c>
      <c r="Q5" s="12" t="s">
        <v>75</v>
      </c>
      <c r="R5" s="13" t="s">
        <v>16</v>
      </c>
      <c r="S5" s="14" t="s">
        <v>17</v>
      </c>
      <c r="T5" s="15" t="s">
        <v>16</v>
      </c>
      <c r="U5" s="16" t="s">
        <v>78</v>
      </c>
    </row>
    <row r="6" spans="1:21" ht="27.75" customHeight="1" x14ac:dyDescent="0.2">
      <c r="B6" s="17" t="s">
        <v>18</v>
      </c>
      <c r="C6" s="18" t="s">
        <v>19</v>
      </c>
      <c r="D6" s="57" t="s">
        <v>99</v>
      </c>
      <c r="E6" s="47">
        <f>'2017 DUOS Incl GST'!E6+'2017 TUOS Incl GST'!E6</f>
        <v>7.3172000000000006</v>
      </c>
      <c r="F6" s="48">
        <f>'2017 DUOS Incl GST'!F6+'2017 TUOS Incl GST'!F6</f>
        <v>11.299200000000003</v>
      </c>
      <c r="G6" s="48">
        <f>'2017 DUOS Incl GST'!G6+'2017 TUOS Incl GST'!G6</f>
        <v>7.7110000000000003</v>
      </c>
      <c r="H6" s="48">
        <f>'2017 DUOS Incl GST'!H6+'2017 TUOS Incl GST'!H6</f>
        <v>0</v>
      </c>
      <c r="I6" s="48">
        <f>'2017 DUOS Incl GST'!I6+'2017 TUOS Incl GST'!I6</f>
        <v>0</v>
      </c>
      <c r="J6" s="48">
        <f>'2017 DUOS Incl GST'!J6+'2017 TUOS Incl GST'!J6</f>
        <v>0</v>
      </c>
      <c r="K6" s="48">
        <f>'2017 DUOS Incl GST'!K6+'2017 TUOS Incl GST'!K6</f>
        <v>0</v>
      </c>
      <c r="L6" s="48">
        <f>'2017 DUOS Incl GST'!L6+'2017 TUOS Incl GST'!L6</f>
        <v>0</v>
      </c>
      <c r="M6" s="48">
        <f>'2017 DUOS Incl GST'!M6+'2017 TUOS Incl GST'!M6</f>
        <v>0</v>
      </c>
      <c r="N6" s="48">
        <f>'2017 DUOS Incl GST'!N6+'2017 TUOS Incl GST'!N6</f>
        <v>0</v>
      </c>
      <c r="O6" s="48">
        <f>'2017 DUOS Incl GST'!O6+'2017 TUOS Incl GST'!O6</f>
        <v>0</v>
      </c>
      <c r="P6" s="50">
        <f>'2017 DUOS Incl GST'!P6+'2017 TUOS Incl GST'!P6</f>
        <v>0</v>
      </c>
      <c r="Q6" s="50">
        <f>'2017 DUOS Incl GST'!Q6+'2017 TUOS Incl GST'!Q6</f>
        <v>0</v>
      </c>
      <c r="R6" s="62" t="s">
        <v>20</v>
      </c>
      <c r="S6" s="63" t="s">
        <v>21</v>
      </c>
      <c r="T6" s="64"/>
      <c r="U6" s="65"/>
    </row>
    <row r="7" spans="1:21" ht="27.75" customHeight="1" x14ac:dyDescent="0.2">
      <c r="B7" s="19" t="s">
        <v>22</v>
      </c>
      <c r="C7" s="20" t="s">
        <v>23</v>
      </c>
      <c r="D7" s="58"/>
      <c r="E7" s="49">
        <f>'2017 DUOS Incl GST'!E7+'2017 TUOS Incl GST'!E7</f>
        <v>14.944600000000001</v>
      </c>
      <c r="F7" s="43">
        <f>'2017 DUOS Incl GST'!F7+'2017 TUOS Incl GST'!F7</f>
        <v>14.549700000000001</v>
      </c>
      <c r="G7" s="43">
        <f>'2017 DUOS Incl GST'!G7+'2017 TUOS Incl GST'!G7</f>
        <v>11.1958</v>
      </c>
      <c r="H7" s="43">
        <f>'2017 DUOS Incl GST'!H7+'2017 TUOS Incl GST'!H7</f>
        <v>0</v>
      </c>
      <c r="I7" s="43">
        <f>'2017 DUOS Incl GST'!I7+'2017 TUOS Incl GST'!I7</f>
        <v>0</v>
      </c>
      <c r="J7" s="43">
        <f>'2017 DUOS Incl GST'!J7+'2017 TUOS Incl GST'!J7</f>
        <v>0</v>
      </c>
      <c r="K7" s="43">
        <f>'2017 DUOS Incl GST'!K7+'2017 TUOS Incl GST'!K7</f>
        <v>1.8601000000000003</v>
      </c>
      <c r="L7" s="43">
        <f>'2017 DUOS Incl GST'!L7+'2017 TUOS Incl GST'!L7</f>
        <v>0</v>
      </c>
      <c r="M7" s="44">
        <f>'2017 DUOS Incl GST'!M7+'2017 TUOS Incl GST'!M7</f>
        <v>0</v>
      </c>
      <c r="N7" s="43">
        <f>'2017 DUOS Incl GST'!N7+'2017 TUOS Incl GST'!N7</f>
        <v>0</v>
      </c>
      <c r="O7" s="43">
        <f>'2017 DUOS Incl GST'!O7+'2017 TUOS Incl GST'!O7</f>
        <v>0</v>
      </c>
      <c r="P7" s="44">
        <f>'2017 DUOS Incl GST'!P7+'2017 TUOS Incl GST'!P7</f>
        <v>0</v>
      </c>
      <c r="Q7" s="43">
        <f>'2017 DUOS Incl GST'!Q7+'2017 TUOS Incl GST'!Q7</f>
        <v>0</v>
      </c>
      <c r="R7" s="66"/>
      <c r="S7" s="67"/>
      <c r="T7" s="68"/>
      <c r="U7" s="69"/>
    </row>
    <row r="8" spans="1:21" ht="27.75" customHeight="1" x14ac:dyDescent="0.2">
      <c r="B8" s="19" t="s">
        <v>24</v>
      </c>
      <c r="C8" s="20" t="s">
        <v>25</v>
      </c>
      <c r="D8" s="58"/>
      <c r="E8" s="49">
        <f>'2017 DUOS Incl GST'!E8+'2017 TUOS Incl GST'!E8</f>
        <v>0</v>
      </c>
      <c r="F8" s="43">
        <f>'2017 DUOS Incl GST'!F8+'2017 TUOS Incl GST'!F8</f>
        <v>0</v>
      </c>
      <c r="G8" s="43">
        <f>'2017 DUOS Incl GST'!G8+'2017 TUOS Incl GST'!G8</f>
        <v>0</v>
      </c>
      <c r="H8" s="43">
        <f>'2017 DUOS Incl GST'!H8+'2017 TUOS Incl GST'!H8</f>
        <v>0</v>
      </c>
      <c r="I8" s="43">
        <f>'2017 DUOS Incl GST'!I8+'2017 TUOS Incl GST'!I8</f>
        <v>0</v>
      </c>
      <c r="J8" s="43">
        <f>'2017 DUOS Incl GST'!J8+'2017 TUOS Incl GST'!J8</f>
        <v>0</v>
      </c>
      <c r="K8" s="43">
        <f>'2017 DUOS Incl GST'!K8+'2017 TUOS Incl GST'!K8</f>
        <v>2.0581</v>
      </c>
      <c r="L8" s="43">
        <f>'2017 DUOS Incl GST'!L8+'2017 TUOS Incl GST'!L8</f>
        <v>0</v>
      </c>
      <c r="M8" s="44">
        <f>'2017 DUOS Incl GST'!M8+'2017 TUOS Incl GST'!M8</f>
        <v>0</v>
      </c>
      <c r="N8" s="43">
        <f>'2017 DUOS Incl GST'!N8+'2017 TUOS Incl GST'!N8</f>
        <v>0</v>
      </c>
      <c r="O8" s="43">
        <f>'2017 DUOS Incl GST'!O8+'2017 TUOS Incl GST'!O8</f>
        <v>0</v>
      </c>
      <c r="P8" s="44">
        <f>'2017 DUOS Incl GST'!P8+'2017 TUOS Incl GST'!P8</f>
        <v>0</v>
      </c>
      <c r="Q8" s="43">
        <f>'2017 DUOS Incl GST'!Q8+'2017 TUOS Incl GST'!Q8</f>
        <v>0</v>
      </c>
      <c r="R8" s="66" t="s">
        <v>20</v>
      </c>
      <c r="S8" s="70" t="s">
        <v>26</v>
      </c>
      <c r="T8" s="71"/>
      <c r="U8" s="72"/>
    </row>
    <row r="9" spans="1:21" ht="27.75" customHeight="1" x14ac:dyDescent="0.2">
      <c r="B9" s="19" t="s">
        <v>27</v>
      </c>
      <c r="C9" s="20" t="s">
        <v>28</v>
      </c>
      <c r="D9" s="58"/>
      <c r="E9" s="49">
        <f>'2017 DUOS Incl GST'!E9+'2017 TUOS Incl GST'!E9</f>
        <v>0</v>
      </c>
      <c r="F9" s="43">
        <f>'2017 DUOS Incl GST'!F9+'2017 TUOS Incl GST'!F9</f>
        <v>12.599400000000001</v>
      </c>
      <c r="G9" s="43">
        <f>'2017 DUOS Incl GST'!G9+'2017 TUOS Incl GST'!G9</f>
        <v>9.4589000000000016</v>
      </c>
      <c r="H9" s="43">
        <f>'2017 DUOS Incl GST'!H9+'2017 TUOS Incl GST'!H9</f>
        <v>0</v>
      </c>
      <c r="I9" s="43">
        <f>'2017 DUOS Incl GST'!I9+'2017 TUOS Incl GST'!I9</f>
        <v>0</v>
      </c>
      <c r="J9" s="43">
        <f>'2017 DUOS Incl GST'!J9+'2017 TUOS Incl GST'!J9</f>
        <v>0</v>
      </c>
      <c r="K9" s="43">
        <f>'2017 DUOS Incl GST'!K9+'2017 TUOS Incl GST'!K9</f>
        <v>1.6258000000000001</v>
      </c>
      <c r="L9" s="43">
        <f>'2017 DUOS Incl GST'!L9+'2017 TUOS Incl GST'!L9</f>
        <v>0</v>
      </c>
      <c r="M9" s="44">
        <f>'2017 DUOS Incl GST'!M9+'2017 TUOS Incl GST'!M9</f>
        <v>0</v>
      </c>
      <c r="N9" s="43">
        <f>'2017 DUOS Incl GST'!N9+'2017 TUOS Incl GST'!N9</f>
        <v>0</v>
      </c>
      <c r="O9" s="43">
        <f>'2017 DUOS Incl GST'!O9+'2017 TUOS Incl GST'!O9</f>
        <v>0</v>
      </c>
      <c r="P9" s="44">
        <f>'2017 DUOS Incl GST'!P9+'2017 TUOS Incl GST'!P9</f>
        <v>0</v>
      </c>
      <c r="Q9" s="43">
        <f>'2017 DUOS Incl GST'!Q9+'2017 TUOS Incl GST'!Q9</f>
        <v>0</v>
      </c>
      <c r="R9" s="66"/>
      <c r="S9" s="67"/>
      <c r="T9" s="71"/>
      <c r="U9" s="72"/>
    </row>
    <row r="10" spans="1:21" ht="27.75" customHeight="1" x14ac:dyDescent="0.2">
      <c r="B10" s="19" t="s">
        <v>29</v>
      </c>
      <c r="C10" s="20" t="s">
        <v>30</v>
      </c>
      <c r="D10" s="58"/>
      <c r="E10" s="49">
        <f>'2017 DUOS Incl GST'!E10+'2017 TUOS Incl GST'!E10</f>
        <v>9.4237000000000002</v>
      </c>
      <c r="F10" s="43">
        <f>'2017 DUOS Incl GST'!F10+'2017 TUOS Incl GST'!F10</f>
        <v>9.5755000000000017</v>
      </c>
      <c r="G10" s="43">
        <f>'2017 DUOS Incl GST'!G10+'2017 TUOS Incl GST'!G10</f>
        <v>7.2457000000000011</v>
      </c>
      <c r="H10" s="43">
        <f>'2017 DUOS Incl GST'!H10+'2017 TUOS Incl GST'!H10</f>
        <v>3.9897</v>
      </c>
      <c r="I10" s="43">
        <f>'2017 DUOS Incl GST'!I10+'2017 TUOS Incl GST'!I10</f>
        <v>0</v>
      </c>
      <c r="J10" s="43">
        <f>'2017 DUOS Incl GST'!J10+'2017 TUOS Incl GST'!J10</f>
        <v>0</v>
      </c>
      <c r="K10" s="43">
        <f>'2017 DUOS Incl GST'!K10+'2017 TUOS Incl GST'!K10</f>
        <v>0</v>
      </c>
      <c r="L10" s="43">
        <f>'2017 DUOS Incl GST'!L10+'2017 TUOS Incl GST'!L10</f>
        <v>0</v>
      </c>
      <c r="M10" s="44">
        <f>'2017 DUOS Incl GST'!M10+'2017 TUOS Incl GST'!M10</f>
        <v>0</v>
      </c>
      <c r="N10" s="43">
        <f>'2017 DUOS Incl GST'!N10+'2017 TUOS Incl GST'!N10</f>
        <v>0</v>
      </c>
      <c r="O10" s="43">
        <f>'2017 DUOS Incl GST'!O10+'2017 TUOS Incl GST'!O10</f>
        <v>0</v>
      </c>
      <c r="P10" s="44">
        <f>'2017 DUOS Incl GST'!P10+'2017 TUOS Incl GST'!P10</f>
        <v>0</v>
      </c>
      <c r="Q10" s="43">
        <f>'2017 DUOS Incl GST'!Q10+'2017 TUOS Incl GST'!Q10</f>
        <v>0</v>
      </c>
      <c r="R10" s="66"/>
      <c r="S10" s="67"/>
      <c r="T10" s="68"/>
      <c r="U10" s="69"/>
    </row>
    <row r="11" spans="1:21" ht="27.75" customHeight="1" x14ac:dyDescent="0.2">
      <c r="B11" s="19" t="s">
        <v>31</v>
      </c>
      <c r="C11" s="20" t="s">
        <v>32</v>
      </c>
      <c r="D11" s="58"/>
      <c r="E11" s="49">
        <f>'2017 DUOS Incl GST'!E11+'2017 TUOS Incl GST'!E11</f>
        <v>0</v>
      </c>
      <c r="F11" s="43">
        <f>'2017 DUOS Incl GST'!F11+'2017 TUOS Incl GST'!F11</f>
        <v>23.371700000000001</v>
      </c>
      <c r="G11" s="43">
        <f>'2017 DUOS Incl GST'!G11+'2017 TUOS Incl GST'!G11</f>
        <v>5.3801000000000005</v>
      </c>
      <c r="H11" s="43">
        <f>'2017 DUOS Incl GST'!H11+'2017 TUOS Incl GST'!H11</f>
        <v>0</v>
      </c>
      <c r="I11" s="43">
        <f>'2017 DUOS Incl GST'!I11+'2017 TUOS Incl GST'!I11</f>
        <v>0</v>
      </c>
      <c r="J11" s="43">
        <f>'2017 DUOS Incl GST'!J11+'2017 TUOS Incl GST'!J11</f>
        <v>0</v>
      </c>
      <c r="K11" s="43">
        <f>'2017 DUOS Incl GST'!K11+'2017 TUOS Incl GST'!K11</f>
        <v>1.5081000000000002</v>
      </c>
      <c r="L11" s="43">
        <f>'2017 DUOS Incl GST'!L11+'2017 TUOS Incl GST'!L11</f>
        <v>0</v>
      </c>
      <c r="M11" s="44">
        <f>'2017 DUOS Incl GST'!M11+'2017 TUOS Incl GST'!M11</f>
        <v>87.690899999999999</v>
      </c>
      <c r="N11" s="43">
        <f>'2017 DUOS Incl GST'!N11+'2017 TUOS Incl GST'!N11</f>
        <v>0</v>
      </c>
      <c r="O11" s="43">
        <f>'2017 DUOS Incl GST'!O11+'2017 TUOS Incl GST'!O11</f>
        <v>0</v>
      </c>
      <c r="P11" s="44">
        <f>'2017 DUOS Incl GST'!P11+'2017 TUOS Incl GST'!P11</f>
        <v>0</v>
      </c>
      <c r="Q11" s="43">
        <f>'2017 DUOS Incl GST'!Q11+'2017 TUOS Incl GST'!Q11</f>
        <v>0</v>
      </c>
      <c r="R11" s="66"/>
      <c r="S11" s="67"/>
      <c r="T11" s="68"/>
      <c r="U11" s="69"/>
    </row>
    <row r="12" spans="1:21" ht="27.75" customHeight="1" x14ac:dyDescent="0.2">
      <c r="B12" s="19" t="s">
        <v>33</v>
      </c>
      <c r="C12" s="20" t="s">
        <v>34</v>
      </c>
      <c r="D12" s="58" t="s">
        <v>99</v>
      </c>
      <c r="E12" s="49">
        <f>'2017 DUOS Incl GST'!E12+'2017 TUOS Incl GST'!E12</f>
        <v>12.085700000000001</v>
      </c>
      <c r="F12" s="43">
        <f>'2017 DUOS Incl GST'!F12+'2017 TUOS Incl GST'!F12</f>
        <v>13.2979</v>
      </c>
      <c r="G12" s="43">
        <f>'2017 DUOS Incl GST'!G12+'2017 TUOS Incl GST'!G12</f>
        <v>8.764800000000001</v>
      </c>
      <c r="H12" s="43">
        <f>'2017 DUOS Incl GST'!H12+'2017 TUOS Incl GST'!H12</f>
        <v>0</v>
      </c>
      <c r="I12" s="43">
        <f>'2017 DUOS Incl GST'!I12+'2017 TUOS Incl GST'!I12</f>
        <v>0</v>
      </c>
      <c r="J12" s="43">
        <f>'2017 DUOS Incl GST'!J12+'2017 TUOS Incl GST'!J12</f>
        <v>0</v>
      </c>
      <c r="K12" s="43">
        <f>'2017 DUOS Incl GST'!K12+'2017 TUOS Incl GST'!K12</f>
        <v>0</v>
      </c>
      <c r="L12" s="43">
        <f>'2017 DUOS Incl GST'!L12+'2017 TUOS Incl GST'!L12</f>
        <v>0</v>
      </c>
      <c r="M12" s="44">
        <f>'2017 DUOS Incl GST'!M12+'2017 TUOS Incl GST'!M12</f>
        <v>0</v>
      </c>
      <c r="N12" s="43">
        <f>'2017 DUOS Incl GST'!N12+'2017 TUOS Incl GST'!N12</f>
        <v>0</v>
      </c>
      <c r="O12" s="43">
        <f>'2017 DUOS Incl GST'!O12+'2017 TUOS Incl GST'!O12</f>
        <v>0</v>
      </c>
      <c r="P12" s="44">
        <f>'2017 DUOS Incl GST'!P12+'2017 TUOS Incl GST'!P12</f>
        <v>0</v>
      </c>
      <c r="Q12" s="43">
        <f>'2017 DUOS Incl GST'!Q12+'2017 TUOS Incl GST'!Q12</f>
        <v>0</v>
      </c>
      <c r="R12" s="66" t="s">
        <v>20</v>
      </c>
      <c r="S12" s="67" t="s">
        <v>35</v>
      </c>
      <c r="T12" s="68"/>
      <c r="U12" s="69"/>
    </row>
    <row r="13" spans="1:21" ht="27.75" customHeight="1" x14ac:dyDescent="0.2">
      <c r="B13" s="19" t="s">
        <v>36</v>
      </c>
      <c r="C13" s="20" t="s">
        <v>37</v>
      </c>
      <c r="D13" s="58"/>
      <c r="E13" s="49">
        <f>'2017 DUOS Incl GST'!E13+'2017 TUOS Incl GST'!E13</f>
        <v>23.133000000000003</v>
      </c>
      <c r="F13" s="43">
        <f>'2017 DUOS Incl GST'!F13+'2017 TUOS Incl GST'!F13</f>
        <v>13.549800000000001</v>
      </c>
      <c r="G13" s="43">
        <f>'2017 DUOS Incl GST'!G13+'2017 TUOS Incl GST'!G13</f>
        <v>10.2707</v>
      </c>
      <c r="H13" s="43">
        <f>'2017 DUOS Incl GST'!H13+'2017 TUOS Incl GST'!H13</f>
        <v>0</v>
      </c>
      <c r="I13" s="43">
        <f>'2017 DUOS Incl GST'!I13+'2017 TUOS Incl GST'!I13</f>
        <v>0</v>
      </c>
      <c r="J13" s="43">
        <f>'2017 DUOS Incl GST'!J13+'2017 TUOS Incl GST'!J13</f>
        <v>0</v>
      </c>
      <c r="K13" s="43">
        <f>'2017 DUOS Incl GST'!K13+'2017 TUOS Incl GST'!K13</f>
        <v>2.0977000000000001</v>
      </c>
      <c r="L13" s="43">
        <f>'2017 DUOS Incl GST'!L13+'2017 TUOS Incl GST'!L13</f>
        <v>0</v>
      </c>
      <c r="M13" s="44">
        <f>'2017 DUOS Incl GST'!M13+'2017 TUOS Incl GST'!M13</f>
        <v>0</v>
      </c>
      <c r="N13" s="43">
        <f>'2017 DUOS Incl GST'!N13+'2017 TUOS Incl GST'!N13</f>
        <v>0</v>
      </c>
      <c r="O13" s="43">
        <f>'2017 DUOS Incl GST'!O13+'2017 TUOS Incl GST'!O13</f>
        <v>0</v>
      </c>
      <c r="P13" s="44">
        <f>'2017 DUOS Incl GST'!P13+'2017 TUOS Incl GST'!P13</f>
        <v>0</v>
      </c>
      <c r="Q13" s="43">
        <f>'2017 DUOS Incl GST'!Q13+'2017 TUOS Incl GST'!Q13</f>
        <v>0</v>
      </c>
      <c r="R13" s="66"/>
      <c r="S13" s="67"/>
      <c r="T13" s="68"/>
      <c r="U13" s="69"/>
    </row>
    <row r="14" spans="1:21" ht="27.75" customHeight="1" x14ac:dyDescent="0.2">
      <c r="B14" s="19" t="s">
        <v>38</v>
      </c>
      <c r="C14" s="20" t="s">
        <v>39</v>
      </c>
      <c r="D14" s="58"/>
      <c r="E14" s="49">
        <f>'2017 DUOS Incl GST'!E14+'2017 TUOS Incl GST'!E14</f>
        <v>24.625700000000002</v>
      </c>
      <c r="F14" s="43">
        <f>'2017 DUOS Incl GST'!F14+'2017 TUOS Incl GST'!F14</f>
        <v>13.448600000000001</v>
      </c>
      <c r="G14" s="43">
        <f>'2017 DUOS Incl GST'!G14+'2017 TUOS Incl GST'!G14</f>
        <v>10.486300000000002</v>
      </c>
      <c r="H14" s="43">
        <f>'2017 DUOS Incl GST'!H14+'2017 TUOS Incl GST'!H14</f>
        <v>0</v>
      </c>
      <c r="I14" s="43">
        <f>'2017 DUOS Incl GST'!I14+'2017 TUOS Incl GST'!I14</f>
        <v>0</v>
      </c>
      <c r="J14" s="43">
        <f>'2017 DUOS Incl GST'!J14+'2017 TUOS Incl GST'!J14</f>
        <v>0</v>
      </c>
      <c r="K14" s="43">
        <f>'2017 DUOS Incl GST'!K14+'2017 TUOS Incl GST'!K14</f>
        <v>1.9503000000000001</v>
      </c>
      <c r="L14" s="43">
        <f>'2017 DUOS Incl GST'!L14+'2017 TUOS Incl GST'!L14</f>
        <v>0</v>
      </c>
      <c r="M14" s="44">
        <f>'2017 DUOS Incl GST'!M14+'2017 TUOS Incl GST'!M14</f>
        <v>0</v>
      </c>
      <c r="N14" s="43">
        <f>'2017 DUOS Incl GST'!N14+'2017 TUOS Incl GST'!N14</f>
        <v>0</v>
      </c>
      <c r="O14" s="43">
        <f>'2017 DUOS Incl GST'!O14+'2017 TUOS Incl GST'!O14</f>
        <v>0</v>
      </c>
      <c r="P14" s="44">
        <f>'2017 DUOS Incl GST'!P14+'2017 TUOS Incl GST'!P14</f>
        <v>0</v>
      </c>
      <c r="Q14" s="43">
        <f>'2017 DUOS Incl GST'!Q14+'2017 TUOS Incl GST'!Q14</f>
        <v>0</v>
      </c>
      <c r="R14" s="66"/>
      <c r="S14" s="67"/>
      <c r="T14" s="68"/>
      <c r="U14" s="69"/>
    </row>
    <row r="15" spans="1:21" ht="27.75" customHeight="1" x14ac:dyDescent="0.2">
      <c r="B15" s="19" t="s">
        <v>40</v>
      </c>
      <c r="C15" s="20" t="s">
        <v>41</v>
      </c>
      <c r="D15" s="58"/>
      <c r="E15" s="49">
        <f>'2017 DUOS Incl GST'!E15+'2017 TUOS Incl GST'!E15</f>
        <v>0</v>
      </c>
      <c r="F15" s="43">
        <f>'2017 DUOS Incl GST'!F15+'2017 TUOS Incl GST'!F15</f>
        <v>11.390500000000001</v>
      </c>
      <c r="G15" s="43">
        <f>'2017 DUOS Incl GST'!G15+'2017 TUOS Incl GST'!G15</f>
        <v>7.1324000000000014</v>
      </c>
      <c r="H15" s="43">
        <f>'2017 DUOS Incl GST'!H15+'2017 TUOS Incl GST'!H15</f>
        <v>0</v>
      </c>
      <c r="I15" s="43">
        <f>'2017 DUOS Incl GST'!I15+'2017 TUOS Incl GST'!I15</f>
        <v>0</v>
      </c>
      <c r="J15" s="43">
        <f>'2017 DUOS Incl GST'!J15+'2017 TUOS Incl GST'!J15</f>
        <v>0</v>
      </c>
      <c r="K15" s="43">
        <f>'2017 DUOS Incl GST'!K15+'2017 TUOS Incl GST'!K15</f>
        <v>2.1527000000000003</v>
      </c>
      <c r="L15" s="43">
        <f>'2017 DUOS Incl GST'!L15+'2017 TUOS Incl GST'!L15</f>
        <v>0</v>
      </c>
      <c r="M15" s="44">
        <f>'2017 DUOS Incl GST'!M15+'2017 TUOS Incl GST'!M15</f>
        <v>54.279499999999999</v>
      </c>
      <c r="N15" s="43">
        <f>'2017 DUOS Incl GST'!N15+'2017 TUOS Incl GST'!N15</f>
        <v>0</v>
      </c>
      <c r="O15" s="43">
        <f>'2017 DUOS Incl GST'!O15+'2017 TUOS Incl GST'!O15</f>
        <v>0</v>
      </c>
      <c r="P15" s="44">
        <f>'2017 DUOS Incl GST'!P15+'2017 TUOS Incl GST'!P15</f>
        <v>0</v>
      </c>
      <c r="Q15" s="43">
        <f>'2017 DUOS Incl GST'!Q15+'2017 TUOS Incl GST'!Q15</f>
        <v>0</v>
      </c>
      <c r="R15" s="66"/>
      <c r="S15" s="67"/>
      <c r="T15" s="68"/>
      <c r="U15" s="69"/>
    </row>
    <row r="16" spans="1:21" ht="27.75" customHeight="1" x14ac:dyDescent="0.2">
      <c r="B16" s="19" t="s">
        <v>42</v>
      </c>
      <c r="C16" s="20" t="s">
        <v>43</v>
      </c>
      <c r="D16" s="58"/>
      <c r="E16" s="49">
        <f>'2017 DUOS Incl GST'!E16+'2017 TUOS Incl GST'!E16</f>
        <v>0</v>
      </c>
      <c r="F16" s="43">
        <f>'2017 DUOS Incl GST'!F16+'2017 TUOS Incl GST'!F16</f>
        <v>9.2224000000000004</v>
      </c>
      <c r="G16" s="43">
        <f>'2017 DUOS Incl GST'!G16+'2017 TUOS Incl GST'!G16</f>
        <v>7.1258000000000008</v>
      </c>
      <c r="H16" s="43">
        <f>'2017 DUOS Incl GST'!H16+'2017 TUOS Incl GST'!H16</f>
        <v>0</v>
      </c>
      <c r="I16" s="43">
        <f>'2017 DUOS Incl GST'!I16+'2017 TUOS Incl GST'!I16</f>
        <v>0</v>
      </c>
      <c r="J16" s="43">
        <f>'2017 DUOS Incl GST'!J16+'2017 TUOS Incl GST'!J16</f>
        <v>0</v>
      </c>
      <c r="K16" s="43">
        <f>'2017 DUOS Incl GST'!K16+'2017 TUOS Incl GST'!K16</f>
        <v>1.8183000000000002</v>
      </c>
      <c r="L16" s="43">
        <f>'2017 DUOS Incl GST'!L16+'2017 TUOS Incl GST'!L16</f>
        <v>0</v>
      </c>
      <c r="M16" s="44">
        <f>'2017 DUOS Incl GST'!M16+'2017 TUOS Incl GST'!M16</f>
        <v>81.352700000000013</v>
      </c>
      <c r="N16" s="43">
        <f>'2017 DUOS Incl GST'!N16+'2017 TUOS Incl GST'!N16</f>
        <v>0</v>
      </c>
      <c r="O16" s="43">
        <f>'2017 DUOS Incl GST'!O16+'2017 TUOS Incl GST'!O16</f>
        <v>0</v>
      </c>
      <c r="P16" s="44">
        <f>'2017 DUOS Incl GST'!P16+'2017 TUOS Incl GST'!P16</f>
        <v>0</v>
      </c>
      <c r="Q16" s="43">
        <f>'2017 DUOS Incl GST'!Q16+'2017 TUOS Incl GST'!Q16</f>
        <v>0</v>
      </c>
      <c r="R16" s="66"/>
      <c r="S16" s="67"/>
      <c r="T16" s="68"/>
      <c r="U16" s="69"/>
    </row>
    <row r="17" spans="2:22" ht="27.75" customHeight="1" x14ac:dyDescent="0.2">
      <c r="B17" s="19" t="s">
        <v>44</v>
      </c>
      <c r="C17" s="20" t="s">
        <v>45</v>
      </c>
      <c r="D17" s="58"/>
      <c r="E17" s="49">
        <f>'2017 DUOS Incl GST'!E17+'2017 TUOS Incl GST'!E17</f>
        <v>13.922700000000001</v>
      </c>
      <c r="F17" s="43">
        <f>'2017 DUOS Incl GST'!F17+'2017 TUOS Incl GST'!F17</f>
        <v>9.0431000000000008</v>
      </c>
      <c r="G17" s="43">
        <f>'2017 DUOS Incl GST'!G17+'2017 TUOS Incl GST'!G17</f>
        <v>7.1621000000000006</v>
      </c>
      <c r="H17" s="43">
        <f>'2017 DUOS Incl GST'!H17+'2017 TUOS Incl GST'!H17</f>
        <v>0</v>
      </c>
      <c r="I17" s="43">
        <f>'2017 DUOS Incl GST'!I17+'2017 TUOS Incl GST'!I17</f>
        <v>0</v>
      </c>
      <c r="J17" s="43">
        <f>'2017 DUOS Incl GST'!J17+'2017 TUOS Incl GST'!J17</f>
        <v>0</v>
      </c>
      <c r="K17" s="43">
        <f>'2017 DUOS Incl GST'!K17+'2017 TUOS Incl GST'!K17</f>
        <v>0</v>
      </c>
      <c r="L17" s="43">
        <f>'2017 DUOS Incl GST'!L17+'2017 TUOS Incl GST'!L17</f>
        <v>0</v>
      </c>
      <c r="M17" s="44">
        <f>'2017 DUOS Incl GST'!M17+'2017 TUOS Incl GST'!M17</f>
        <v>0</v>
      </c>
      <c r="N17" s="43">
        <f>'2017 DUOS Incl GST'!N17+'2017 TUOS Incl GST'!N17</f>
        <v>0</v>
      </c>
      <c r="O17" s="43">
        <f>'2017 DUOS Incl GST'!O17+'2017 TUOS Incl GST'!O17</f>
        <v>0</v>
      </c>
      <c r="P17" s="44">
        <f>'2017 DUOS Incl GST'!P17+'2017 TUOS Incl GST'!P17</f>
        <v>0</v>
      </c>
      <c r="Q17" s="43">
        <f>'2017 DUOS Incl GST'!Q17+'2017 TUOS Incl GST'!Q17</f>
        <v>0</v>
      </c>
      <c r="R17" s="66"/>
      <c r="S17" s="67"/>
      <c r="T17" s="68"/>
      <c r="U17" s="69"/>
    </row>
    <row r="18" spans="2:22" ht="27.75" customHeight="1" x14ac:dyDescent="0.2">
      <c r="B18" s="19" t="s">
        <v>46</v>
      </c>
      <c r="C18" s="20" t="s">
        <v>47</v>
      </c>
      <c r="D18" s="58"/>
      <c r="E18" s="49">
        <f>'2017 DUOS Incl GST'!E18+'2017 TUOS Incl GST'!E18</f>
        <v>20.0838</v>
      </c>
      <c r="F18" s="43">
        <f>'2017 DUOS Incl GST'!F18+'2017 TUOS Incl GST'!F18</f>
        <v>12.0318</v>
      </c>
      <c r="G18" s="43">
        <f>'2017 DUOS Incl GST'!G18+'2017 TUOS Incl GST'!G18</f>
        <v>9.5788000000000011</v>
      </c>
      <c r="H18" s="43">
        <f>'2017 DUOS Incl GST'!H18+'2017 TUOS Incl GST'!H18</f>
        <v>0</v>
      </c>
      <c r="I18" s="43">
        <f>'2017 DUOS Incl GST'!I18+'2017 TUOS Incl GST'!I18</f>
        <v>0</v>
      </c>
      <c r="J18" s="43">
        <f>'2017 DUOS Incl GST'!J18+'2017 TUOS Incl GST'!J18</f>
        <v>0</v>
      </c>
      <c r="K18" s="43">
        <f>'2017 DUOS Incl GST'!K18+'2017 TUOS Incl GST'!K18</f>
        <v>1.8997000000000002</v>
      </c>
      <c r="L18" s="43">
        <f>'2017 DUOS Incl GST'!L18+'2017 TUOS Incl GST'!L18</f>
        <v>0</v>
      </c>
      <c r="M18" s="44">
        <f>'2017 DUOS Incl GST'!M18+'2017 TUOS Incl GST'!M18</f>
        <v>0</v>
      </c>
      <c r="N18" s="43">
        <f>'2017 DUOS Incl GST'!N18+'2017 TUOS Incl GST'!N18</f>
        <v>0</v>
      </c>
      <c r="O18" s="43">
        <f>'2017 DUOS Incl GST'!O18+'2017 TUOS Incl GST'!O18</f>
        <v>0</v>
      </c>
      <c r="P18" s="44">
        <f>'2017 DUOS Incl GST'!P18+'2017 TUOS Incl GST'!P18</f>
        <v>0</v>
      </c>
      <c r="Q18" s="43">
        <f>'2017 DUOS Incl GST'!Q18+'2017 TUOS Incl GST'!Q18</f>
        <v>0</v>
      </c>
      <c r="R18" s="66"/>
      <c r="S18" s="67"/>
      <c r="T18" s="68"/>
      <c r="U18" s="69"/>
    </row>
    <row r="19" spans="2:22" ht="27.75" customHeight="1" x14ac:dyDescent="0.2">
      <c r="B19" s="19" t="s">
        <v>48</v>
      </c>
      <c r="C19" s="20" t="s">
        <v>49</v>
      </c>
      <c r="D19" s="58"/>
      <c r="E19" s="49">
        <f>'2017 DUOS Incl GST'!E19+'2017 TUOS Incl GST'!E19</f>
        <v>0</v>
      </c>
      <c r="F19" s="43">
        <f>'2017 DUOS Incl GST'!F19+'2017 TUOS Incl GST'!F19</f>
        <v>2.6048</v>
      </c>
      <c r="G19" s="43">
        <f>'2017 DUOS Incl GST'!G19+'2017 TUOS Incl GST'!G19</f>
        <v>2.1549</v>
      </c>
      <c r="H19" s="43">
        <f>'2017 DUOS Incl GST'!H19+'2017 TUOS Incl GST'!H19</f>
        <v>0</v>
      </c>
      <c r="I19" s="43">
        <f>'2017 DUOS Incl GST'!I19+'2017 TUOS Incl GST'!I19</f>
        <v>0</v>
      </c>
      <c r="J19" s="43">
        <f>'2017 DUOS Incl GST'!J19+'2017 TUOS Incl GST'!J19</f>
        <v>0</v>
      </c>
      <c r="K19" s="43">
        <f>'2017 DUOS Incl GST'!K19+'2017 TUOS Incl GST'!K19</f>
        <v>1.2045000000000001</v>
      </c>
      <c r="L19" s="43">
        <f>'2017 DUOS Incl GST'!L19+'2017 TUOS Incl GST'!L19</f>
        <v>19.262100000000004</v>
      </c>
      <c r="M19" s="44">
        <f>'2017 DUOS Incl GST'!M19+'2017 TUOS Incl GST'!M19</f>
        <v>28.139099999999999</v>
      </c>
      <c r="N19" s="43">
        <f>'2017 DUOS Incl GST'!N19+'2017 TUOS Incl GST'!N19</f>
        <v>0</v>
      </c>
      <c r="O19" s="43">
        <f>'2017 DUOS Incl GST'!O19+'2017 TUOS Incl GST'!O19</f>
        <v>0</v>
      </c>
      <c r="P19" s="44">
        <f>'2017 DUOS Incl GST'!P19+'2017 TUOS Incl GST'!P19</f>
        <v>0</v>
      </c>
      <c r="Q19" s="43">
        <f>'2017 DUOS Incl GST'!Q19+'2017 TUOS Incl GST'!Q19</f>
        <v>0</v>
      </c>
      <c r="R19" s="66" t="s">
        <v>50</v>
      </c>
      <c r="S19" s="67" t="s">
        <v>51</v>
      </c>
      <c r="T19" s="68">
        <v>150</v>
      </c>
      <c r="U19" s="69"/>
    </row>
    <row r="20" spans="2:22" ht="27.75" customHeight="1" x14ac:dyDescent="0.2">
      <c r="B20" s="19" t="s">
        <v>52</v>
      </c>
      <c r="C20" s="20" t="s">
        <v>53</v>
      </c>
      <c r="D20" s="59"/>
      <c r="E20" s="49">
        <f>'2017 DUOS Incl GST'!E20+'2017 TUOS Incl GST'!E20</f>
        <v>0</v>
      </c>
      <c r="F20" s="43">
        <f>'2017 DUOS Incl GST'!F20+'2017 TUOS Incl GST'!F20</f>
        <v>1.9910000000000001</v>
      </c>
      <c r="G20" s="43">
        <f>'2017 DUOS Incl GST'!G20+'2017 TUOS Incl GST'!G20</f>
        <v>1.6280000000000001</v>
      </c>
      <c r="H20" s="43">
        <f>'2017 DUOS Incl GST'!H20+'2017 TUOS Incl GST'!H20</f>
        <v>0</v>
      </c>
      <c r="I20" s="43">
        <f>'2017 DUOS Incl GST'!I20+'2017 TUOS Incl GST'!I20</f>
        <v>0</v>
      </c>
      <c r="J20" s="43">
        <f>'2017 DUOS Incl GST'!J20+'2017 TUOS Incl GST'!J20</f>
        <v>0</v>
      </c>
      <c r="K20" s="43">
        <f>'2017 DUOS Incl GST'!K20+'2017 TUOS Incl GST'!K20</f>
        <v>1.0296000000000001</v>
      </c>
      <c r="L20" s="43">
        <f>'2017 DUOS Incl GST'!L20+'2017 TUOS Incl GST'!L20</f>
        <v>17.429500000000001</v>
      </c>
      <c r="M20" s="44">
        <f>'2017 DUOS Incl GST'!M20+'2017 TUOS Incl GST'!M20</f>
        <v>41.928700000000006</v>
      </c>
      <c r="N20" s="43">
        <f>'2017 DUOS Incl GST'!N20+'2017 TUOS Incl GST'!N20</f>
        <v>0</v>
      </c>
      <c r="O20" s="43">
        <f>'2017 DUOS Incl GST'!O20+'2017 TUOS Incl GST'!O20</f>
        <v>0</v>
      </c>
      <c r="P20" s="44">
        <f>'2017 DUOS Incl GST'!P20+'2017 TUOS Incl GST'!P20</f>
        <v>0</v>
      </c>
      <c r="Q20" s="43">
        <f>'2017 DUOS Incl GST'!Q20+'2017 TUOS Incl GST'!Q20</f>
        <v>0</v>
      </c>
      <c r="R20" s="66"/>
      <c r="S20" s="67"/>
      <c r="T20" s="68">
        <v>150</v>
      </c>
      <c r="U20" s="69"/>
      <c r="V20" s="32"/>
    </row>
    <row r="21" spans="2:22" ht="27.75" customHeight="1" x14ac:dyDescent="0.2">
      <c r="B21" s="19" t="s">
        <v>54</v>
      </c>
      <c r="C21" s="20" t="s">
        <v>55</v>
      </c>
      <c r="D21" s="58"/>
      <c r="E21" s="49">
        <f>'2017 DUOS Incl GST'!E21+'2017 TUOS Incl GST'!E21</f>
        <v>0</v>
      </c>
      <c r="F21" s="43">
        <f>'2017 DUOS Incl GST'!F21+'2017 TUOS Incl GST'!F21</f>
        <v>1.6863000000000001</v>
      </c>
      <c r="G21" s="43">
        <f>'2017 DUOS Incl GST'!G21+'2017 TUOS Incl GST'!G21</f>
        <v>1.4212</v>
      </c>
      <c r="H21" s="43">
        <f>'2017 DUOS Incl GST'!H21+'2017 TUOS Incl GST'!H21</f>
        <v>0</v>
      </c>
      <c r="I21" s="43">
        <f>'2017 DUOS Incl GST'!I21+'2017 TUOS Incl GST'!I21</f>
        <v>0</v>
      </c>
      <c r="J21" s="43">
        <f>'2017 DUOS Incl GST'!J21+'2017 TUOS Incl GST'!J21</f>
        <v>0</v>
      </c>
      <c r="K21" s="43">
        <f>'2017 DUOS Incl GST'!K21+'2017 TUOS Incl GST'!K21</f>
        <v>0.75020000000000009</v>
      </c>
      <c r="L21" s="43">
        <f>'2017 DUOS Incl GST'!L21+'2017 TUOS Incl GST'!L21</f>
        <v>14.279100000000003</v>
      </c>
      <c r="M21" s="44">
        <f>'2017 DUOS Incl GST'!M21+'2017 TUOS Incl GST'!M21</f>
        <v>17.840900000000001</v>
      </c>
      <c r="N21" s="43">
        <f>'2017 DUOS Incl GST'!N21+'2017 TUOS Incl GST'!N21</f>
        <v>0</v>
      </c>
      <c r="O21" s="43">
        <f>'2017 DUOS Incl GST'!O21+'2017 TUOS Incl GST'!O21</f>
        <v>0</v>
      </c>
      <c r="P21" s="44">
        <f>'2017 DUOS Incl GST'!P21+'2017 TUOS Incl GST'!P21</f>
        <v>0</v>
      </c>
      <c r="Q21" s="43">
        <f>'2017 DUOS Incl GST'!Q21+'2017 TUOS Incl GST'!Q21</f>
        <v>0</v>
      </c>
      <c r="R21" s="66" t="s">
        <v>50</v>
      </c>
      <c r="S21" s="67" t="s">
        <v>51</v>
      </c>
      <c r="T21" s="68">
        <v>1150</v>
      </c>
      <c r="U21" s="69"/>
    </row>
    <row r="22" spans="2:22" ht="27.75" customHeight="1" x14ac:dyDescent="0.2">
      <c r="B22" s="19" t="s">
        <v>56</v>
      </c>
      <c r="C22" s="20" t="s">
        <v>57</v>
      </c>
      <c r="D22" s="59"/>
      <c r="E22" s="49">
        <f>'2017 DUOS Incl GST'!E22+'2017 TUOS Incl GST'!E22</f>
        <v>0</v>
      </c>
      <c r="F22" s="43">
        <f>'2017 DUOS Incl GST'!F22+'2017 TUOS Incl GST'!F22</f>
        <v>1.3684000000000001</v>
      </c>
      <c r="G22" s="43">
        <f>'2017 DUOS Incl GST'!G22+'2017 TUOS Incl GST'!G22</f>
        <v>1.1165</v>
      </c>
      <c r="H22" s="43">
        <f>'2017 DUOS Incl GST'!H22+'2017 TUOS Incl GST'!H22</f>
        <v>0</v>
      </c>
      <c r="I22" s="43">
        <f>'2017 DUOS Incl GST'!I22+'2017 TUOS Incl GST'!I22</f>
        <v>0</v>
      </c>
      <c r="J22" s="43">
        <f>'2017 DUOS Incl GST'!J22+'2017 TUOS Incl GST'!J22</f>
        <v>0</v>
      </c>
      <c r="K22" s="43">
        <f>'2017 DUOS Incl GST'!K22+'2017 TUOS Incl GST'!K22</f>
        <v>0.73150000000000015</v>
      </c>
      <c r="L22" s="43">
        <f>'2017 DUOS Incl GST'!L22+'2017 TUOS Incl GST'!L22</f>
        <v>13.299000000000001</v>
      </c>
      <c r="M22" s="44">
        <f>'2017 DUOS Incl GST'!M22+'2017 TUOS Incl GST'!M22</f>
        <v>30.940799999999999</v>
      </c>
      <c r="N22" s="43">
        <f>'2017 DUOS Incl GST'!N22+'2017 TUOS Incl GST'!N22</f>
        <v>0</v>
      </c>
      <c r="O22" s="43">
        <f>'2017 DUOS Incl GST'!O22+'2017 TUOS Incl GST'!O22</f>
        <v>0</v>
      </c>
      <c r="P22" s="44">
        <f>'2017 DUOS Incl GST'!P22+'2017 TUOS Incl GST'!P22</f>
        <v>0</v>
      </c>
      <c r="Q22" s="43">
        <f>'2017 DUOS Incl GST'!Q22+'2017 TUOS Incl GST'!Q22</f>
        <v>0</v>
      </c>
      <c r="R22" s="66"/>
      <c r="S22" s="67"/>
      <c r="T22" s="68">
        <v>1150</v>
      </c>
      <c r="U22" s="69"/>
      <c r="V22" s="32"/>
    </row>
    <row r="23" spans="2:22" ht="27.75" customHeight="1" x14ac:dyDescent="0.2">
      <c r="B23" s="19" t="s">
        <v>58</v>
      </c>
      <c r="C23" s="20" t="s">
        <v>59</v>
      </c>
      <c r="D23" s="58"/>
      <c r="E23" s="49">
        <f>'2017 DUOS Incl GST'!E23+'2017 TUOS Incl GST'!E23</f>
        <v>0</v>
      </c>
      <c r="F23" s="43">
        <f>'2017 DUOS Incl GST'!F23+'2017 TUOS Incl GST'!F23</f>
        <v>1.0472000000000001</v>
      </c>
      <c r="G23" s="43">
        <f>'2017 DUOS Incl GST'!G23+'2017 TUOS Incl GST'!G23</f>
        <v>0.83050000000000002</v>
      </c>
      <c r="H23" s="43">
        <f>'2017 DUOS Incl GST'!H23+'2017 TUOS Incl GST'!H23</f>
        <v>0</v>
      </c>
      <c r="I23" s="43">
        <f>'2017 DUOS Incl GST'!I23+'2017 TUOS Incl GST'!I23</f>
        <v>0</v>
      </c>
      <c r="J23" s="43">
        <f>'2017 DUOS Incl GST'!J23+'2017 TUOS Incl GST'!J23</f>
        <v>0</v>
      </c>
      <c r="K23" s="43">
        <f>'2017 DUOS Incl GST'!K23+'2017 TUOS Incl GST'!K23</f>
        <v>0.3322</v>
      </c>
      <c r="L23" s="43">
        <f>'2017 DUOS Incl GST'!L23+'2017 TUOS Incl GST'!L23</f>
        <v>4.7916000000000007</v>
      </c>
      <c r="M23" s="44">
        <f>'2017 DUOS Incl GST'!M23+'2017 TUOS Incl GST'!M23</f>
        <v>6.0312999999999999</v>
      </c>
      <c r="N23" s="43">
        <f>'2017 DUOS Incl GST'!N23+'2017 TUOS Incl GST'!N23</f>
        <v>0</v>
      </c>
      <c r="O23" s="43">
        <f>'2017 DUOS Incl GST'!O23+'2017 TUOS Incl GST'!O23</f>
        <v>0</v>
      </c>
      <c r="P23" s="44">
        <f>'2017 DUOS Incl GST'!P23+'2017 TUOS Incl GST'!P23</f>
        <v>0</v>
      </c>
      <c r="Q23" s="43">
        <f>'2017 DUOS Incl GST'!Q23+'2017 TUOS Incl GST'!Q23</f>
        <v>0</v>
      </c>
      <c r="R23" s="66"/>
      <c r="S23" s="67"/>
      <c r="T23" s="68">
        <v>11100</v>
      </c>
      <c r="U23" s="69"/>
    </row>
    <row r="24" spans="2:22" ht="27.75" customHeight="1" x14ac:dyDescent="0.2">
      <c r="B24" s="19" t="s">
        <v>60</v>
      </c>
      <c r="C24" s="20" t="s">
        <v>61</v>
      </c>
      <c r="D24" s="58" t="s">
        <v>99</v>
      </c>
      <c r="E24" s="49">
        <f>'2017 DUOS Incl GST'!E24+'2017 TUOS Incl GST'!E24</f>
        <v>6.9608000000000008</v>
      </c>
      <c r="F24" s="43">
        <f>'2017 DUOS Incl GST'!F24+'2017 TUOS Incl GST'!F24</f>
        <v>20.421500000000002</v>
      </c>
      <c r="G24" s="43">
        <f>'2017 DUOS Incl GST'!G24+'2017 TUOS Incl GST'!G24</f>
        <v>12.992100000000001</v>
      </c>
      <c r="H24" s="43">
        <f>'2017 DUOS Incl GST'!H24+'2017 TUOS Incl GST'!H24</f>
        <v>0</v>
      </c>
      <c r="I24" s="43">
        <f>'2017 DUOS Incl GST'!I24+'2017 TUOS Incl GST'!I24</f>
        <v>7.8463000000000003</v>
      </c>
      <c r="J24" s="43">
        <f>'2017 DUOS Incl GST'!J24+'2017 TUOS Incl GST'!J24</f>
        <v>6.2381000000000002</v>
      </c>
      <c r="K24" s="43">
        <f>'2017 DUOS Incl GST'!K24+'2017 TUOS Incl GST'!K24</f>
        <v>3.2263000000000002</v>
      </c>
      <c r="L24" s="43">
        <f>'2017 DUOS Incl GST'!L24+'2017 TUOS Incl GST'!L24</f>
        <v>0</v>
      </c>
      <c r="M24" s="44">
        <f>'2017 DUOS Incl GST'!M24+'2017 TUOS Incl GST'!M24</f>
        <v>0</v>
      </c>
      <c r="N24" s="43">
        <f>'2017 DUOS Incl GST'!N24+'2017 TUOS Incl GST'!N24</f>
        <v>0</v>
      </c>
      <c r="O24" s="43">
        <f>'2017 DUOS Incl GST'!O24+'2017 TUOS Incl GST'!O24</f>
        <v>0</v>
      </c>
      <c r="P24" s="44">
        <f>'2017 DUOS Incl GST'!P24+'2017 TUOS Incl GST'!P24</f>
        <v>0</v>
      </c>
      <c r="Q24" s="43">
        <f>'2017 DUOS Incl GST'!Q24+'2017 TUOS Incl GST'!Q24</f>
        <v>0</v>
      </c>
      <c r="R24" s="66" t="s">
        <v>20</v>
      </c>
      <c r="S24" s="67" t="s">
        <v>21</v>
      </c>
      <c r="T24" s="68"/>
      <c r="U24" s="69"/>
    </row>
    <row r="25" spans="2:22" ht="27.75" customHeight="1" x14ac:dyDescent="0.2">
      <c r="B25" s="19" t="s">
        <v>62</v>
      </c>
      <c r="C25" s="20" t="s">
        <v>63</v>
      </c>
      <c r="D25" s="58" t="s">
        <v>99</v>
      </c>
      <c r="E25" s="49">
        <f>'2017 DUOS Incl GST'!E25+'2017 TUOS Incl GST'!E25</f>
        <v>0</v>
      </c>
      <c r="F25" s="43">
        <f>'2017 DUOS Incl GST'!F25+'2017 TUOS Incl GST'!F25</f>
        <v>12.745700000000001</v>
      </c>
      <c r="G25" s="43">
        <f>'2017 DUOS Incl GST'!G25+'2017 TUOS Incl GST'!G25</f>
        <v>7.3370000000000006</v>
      </c>
      <c r="H25" s="43">
        <f>'2017 DUOS Incl GST'!H25+'2017 TUOS Incl GST'!H25</f>
        <v>0</v>
      </c>
      <c r="I25" s="43">
        <f>'2017 DUOS Incl GST'!I25+'2017 TUOS Incl GST'!I25</f>
        <v>0</v>
      </c>
      <c r="J25" s="43">
        <f>'2017 DUOS Incl GST'!J25+'2017 TUOS Incl GST'!J25</f>
        <v>0</v>
      </c>
      <c r="K25" s="43">
        <f>'2017 DUOS Incl GST'!K25+'2017 TUOS Incl GST'!K25</f>
        <v>2.9348000000000005</v>
      </c>
      <c r="L25" s="43">
        <f>'2017 DUOS Incl GST'!L25+'2017 TUOS Incl GST'!L25</f>
        <v>0</v>
      </c>
      <c r="M25" s="44">
        <f>'2017 DUOS Incl GST'!M25+'2017 TUOS Incl GST'!M25</f>
        <v>50.630800000000008</v>
      </c>
      <c r="N25" s="43">
        <f>'2017 DUOS Incl GST'!N25+'2017 TUOS Incl GST'!N25</f>
        <v>0</v>
      </c>
      <c r="O25" s="43">
        <f>'2017 DUOS Incl GST'!O25+'2017 TUOS Incl GST'!O25</f>
        <v>0</v>
      </c>
      <c r="P25" s="44">
        <f>'2017 DUOS Incl GST'!P25+'2017 TUOS Incl GST'!P25</f>
        <v>0</v>
      </c>
      <c r="Q25" s="43">
        <f>'2017 DUOS Incl GST'!Q25+'2017 TUOS Incl GST'!Q25</f>
        <v>0</v>
      </c>
      <c r="R25" s="66" t="s">
        <v>20</v>
      </c>
      <c r="S25" s="67" t="s">
        <v>35</v>
      </c>
      <c r="T25" s="68"/>
      <c r="U25" s="69"/>
    </row>
    <row r="26" spans="2:22" ht="27.75" customHeight="1" x14ac:dyDescent="0.2">
      <c r="B26" s="19" t="s">
        <v>64</v>
      </c>
      <c r="C26" s="20" t="s">
        <v>65</v>
      </c>
      <c r="D26" s="58" t="s">
        <v>99</v>
      </c>
      <c r="E26" s="49">
        <f>'2017 DUOS Incl GST'!E26+'2017 TUOS Incl GST'!E26</f>
        <v>7.2204000000000006</v>
      </c>
      <c r="F26" s="43">
        <f>'2017 DUOS Incl GST'!F26+'2017 TUOS Incl GST'!F26</f>
        <v>23.817200000000003</v>
      </c>
      <c r="G26" s="43">
        <f>'2017 DUOS Incl GST'!G26+'2017 TUOS Incl GST'!G26</f>
        <v>16.3262</v>
      </c>
      <c r="H26" s="43">
        <f>'2017 DUOS Incl GST'!H26+'2017 TUOS Incl GST'!H26</f>
        <v>0</v>
      </c>
      <c r="I26" s="43">
        <f>'2017 DUOS Incl GST'!I26+'2017 TUOS Incl GST'!I26</f>
        <v>10.450000000000001</v>
      </c>
      <c r="J26" s="43">
        <f>'2017 DUOS Incl GST'!J26+'2017 TUOS Incl GST'!J26</f>
        <v>9.0706000000000007</v>
      </c>
      <c r="K26" s="43">
        <f>'2017 DUOS Incl GST'!K26+'2017 TUOS Incl GST'!K26</f>
        <v>4.4693000000000005</v>
      </c>
      <c r="L26" s="43">
        <f>'2017 DUOS Incl GST'!L26+'2017 TUOS Incl GST'!L26</f>
        <v>0</v>
      </c>
      <c r="M26" s="44">
        <f>'2017 DUOS Incl GST'!M26+'2017 TUOS Incl GST'!M26</f>
        <v>0</v>
      </c>
      <c r="N26" s="43">
        <f>'2017 DUOS Incl GST'!N26+'2017 TUOS Incl GST'!N26</f>
        <v>0</v>
      </c>
      <c r="O26" s="43">
        <f>'2017 DUOS Incl GST'!O26+'2017 TUOS Incl GST'!O26</f>
        <v>0</v>
      </c>
      <c r="P26" s="44">
        <f>'2017 DUOS Incl GST'!P26+'2017 TUOS Incl GST'!P26</f>
        <v>0</v>
      </c>
      <c r="Q26" s="43">
        <f>'2017 DUOS Incl GST'!Q26+'2017 TUOS Incl GST'!Q26</f>
        <v>0</v>
      </c>
      <c r="R26" s="66" t="s">
        <v>20</v>
      </c>
      <c r="S26" s="67" t="s">
        <v>21</v>
      </c>
      <c r="T26" s="68"/>
      <c r="U26" s="69"/>
    </row>
    <row r="27" spans="2:22" ht="27.75" customHeight="1" x14ac:dyDescent="0.2">
      <c r="B27" s="21" t="s">
        <v>66</v>
      </c>
      <c r="C27" s="22" t="s">
        <v>67</v>
      </c>
      <c r="D27" s="60" t="s">
        <v>99</v>
      </c>
      <c r="E27" s="40">
        <f>'2017 DUOS Incl GST'!E27+'2017 TUOS Incl GST'!E27</f>
        <v>7.7759000000000009</v>
      </c>
      <c r="F27" s="41">
        <f>'2017 DUOS Incl GST'!F27+'2017 TUOS Incl GST'!F27</f>
        <v>22.7469</v>
      </c>
      <c r="G27" s="41">
        <f>'2017 DUOS Incl GST'!G27+'2017 TUOS Incl GST'!G27</f>
        <v>14.5585</v>
      </c>
      <c r="H27" s="41">
        <f>'2017 DUOS Incl GST'!H27+'2017 TUOS Incl GST'!H27</f>
        <v>0</v>
      </c>
      <c r="I27" s="41">
        <f>'2017 DUOS Incl GST'!I27+'2017 TUOS Incl GST'!I27</f>
        <v>7.1313000000000013</v>
      </c>
      <c r="J27" s="41">
        <f>'2017 DUOS Incl GST'!J27+'2017 TUOS Incl GST'!J27</f>
        <v>6.8849000000000009</v>
      </c>
      <c r="K27" s="41">
        <f>'2017 DUOS Incl GST'!K27+'2017 TUOS Incl GST'!K27</f>
        <v>4.2735000000000003</v>
      </c>
      <c r="L27" s="41">
        <f>'2017 DUOS Incl GST'!L27+'2017 TUOS Incl GST'!L27</f>
        <v>0</v>
      </c>
      <c r="M27" s="42">
        <f>'2017 DUOS Incl GST'!M27+'2017 TUOS Incl GST'!M27</f>
        <v>0</v>
      </c>
      <c r="N27" s="41">
        <f>'2017 DUOS Incl GST'!N27+'2017 TUOS Incl GST'!N27</f>
        <v>0</v>
      </c>
      <c r="O27" s="43">
        <f>'2017 DUOS Incl GST'!O27+'2017 TUOS Incl GST'!O27</f>
        <v>0</v>
      </c>
      <c r="P27" s="44">
        <f>'2017 DUOS Incl GST'!P27+'2017 TUOS Incl GST'!P27</f>
        <v>0</v>
      </c>
      <c r="Q27" s="43">
        <f>'2017 DUOS Incl GST'!Q27+'2017 TUOS Incl GST'!Q27</f>
        <v>0</v>
      </c>
      <c r="R27" s="115" t="s">
        <v>68</v>
      </c>
      <c r="S27" s="116"/>
      <c r="T27" s="45"/>
      <c r="U27" s="46"/>
    </row>
    <row r="28" spans="2:22" ht="27.75" customHeight="1" x14ac:dyDescent="0.2">
      <c r="B28" s="37" t="s">
        <v>102</v>
      </c>
      <c r="C28" s="36" t="s">
        <v>104</v>
      </c>
      <c r="D28" s="60" t="s">
        <v>99</v>
      </c>
      <c r="E28" s="40">
        <f>'2017 DUOS Incl GST'!E28+'2017 TUOS Incl GST'!E28</f>
        <v>0</v>
      </c>
      <c r="F28" s="41">
        <f>'2017 DUOS Incl GST'!F28+'2017 TUOS Incl GST'!F28</f>
        <v>3.6597000000000004</v>
      </c>
      <c r="G28" s="41">
        <f>'2017 DUOS Incl GST'!G28+'2017 TUOS Incl GST'!G28</f>
        <v>3.6597000000000004</v>
      </c>
      <c r="H28" s="41">
        <f>'2017 DUOS Incl GST'!H28+'2017 TUOS Incl GST'!H28</f>
        <v>3.6597000000000004</v>
      </c>
      <c r="I28" s="41">
        <f>'2017 DUOS Incl GST'!I28+'2017 TUOS Incl GST'!I28</f>
        <v>3.6597000000000004</v>
      </c>
      <c r="J28" s="41">
        <f>'2017 DUOS Incl GST'!J28+'2017 TUOS Incl GST'!J28</f>
        <v>3.6597000000000004</v>
      </c>
      <c r="K28" s="41">
        <f>'2017 DUOS Incl GST'!K28+'2017 TUOS Incl GST'!K28</f>
        <v>3.6597000000000004</v>
      </c>
      <c r="L28" s="41">
        <f>'2017 DUOS Incl GST'!L28+'2017 TUOS Incl GST'!L28</f>
        <v>0</v>
      </c>
      <c r="M28" s="42">
        <f>'2017 DUOS Incl GST'!M28+'2017 TUOS Incl GST'!M28</f>
        <v>0</v>
      </c>
      <c r="N28" s="41">
        <f>'2017 DUOS Incl GST'!N28+'2017 TUOS Incl GST'!N28</f>
        <v>33.613800000000005</v>
      </c>
      <c r="O28" s="43">
        <f>'2017 DUOS Incl GST'!O28+'2017 TUOS Incl GST'!O28</f>
        <v>14.736700000000001</v>
      </c>
      <c r="P28" s="44">
        <f>'2017 DUOS Incl GST'!P28+'2017 TUOS Incl GST'!P28</f>
        <v>0</v>
      </c>
      <c r="Q28" s="43">
        <f>'2017 DUOS Incl GST'!Q28+'2017 TUOS Incl GST'!Q28</f>
        <v>0</v>
      </c>
      <c r="R28" s="66" t="s">
        <v>20</v>
      </c>
      <c r="S28" s="67" t="s">
        <v>21</v>
      </c>
      <c r="T28" s="45"/>
      <c r="U28" s="73">
        <v>1.5</v>
      </c>
      <c r="V28" s="32"/>
    </row>
    <row r="29" spans="2:22" ht="27.75" customHeight="1" x14ac:dyDescent="0.2">
      <c r="B29" s="37" t="s">
        <v>103</v>
      </c>
      <c r="C29" s="36" t="s">
        <v>106</v>
      </c>
      <c r="D29" s="60" t="s">
        <v>99</v>
      </c>
      <c r="E29" s="40">
        <f>'2017 DUOS Incl GST'!E29+'2017 TUOS Incl GST'!E29</f>
        <v>0</v>
      </c>
      <c r="F29" s="41">
        <f>'2017 DUOS Incl GST'!F29+'2017 TUOS Incl GST'!F29</f>
        <v>4.7960000000000003</v>
      </c>
      <c r="G29" s="41">
        <f>'2017 DUOS Incl GST'!G29+'2017 TUOS Incl GST'!G29</f>
        <v>4.7960000000000003</v>
      </c>
      <c r="H29" s="41">
        <f>'2017 DUOS Incl GST'!H29+'2017 TUOS Incl GST'!H29</f>
        <v>4.7960000000000003</v>
      </c>
      <c r="I29" s="41">
        <f>'2017 DUOS Incl GST'!I29+'2017 TUOS Incl GST'!I29</f>
        <v>4.7960000000000003</v>
      </c>
      <c r="J29" s="41">
        <f>'2017 DUOS Incl GST'!J29+'2017 TUOS Incl GST'!J29</f>
        <v>4.7960000000000003</v>
      </c>
      <c r="K29" s="41">
        <f>'2017 DUOS Incl GST'!K29+'2017 TUOS Incl GST'!K29</f>
        <v>4.7960000000000003</v>
      </c>
      <c r="L29" s="41">
        <f>'2017 DUOS Incl GST'!L29+'2017 TUOS Incl GST'!L29</f>
        <v>0</v>
      </c>
      <c r="M29" s="42">
        <f>'2017 DUOS Incl GST'!M29+'2017 TUOS Incl GST'!M29</f>
        <v>0</v>
      </c>
      <c r="N29" s="41">
        <f>'2017 DUOS Incl GST'!N29+'2017 TUOS Incl GST'!N29</f>
        <v>39.668199999999999</v>
      </c>
      <c r="O29" s="43">
        <f>'2017 DUOS Incl GST'!O29+'2017 TUOS Incl GST'!O29</f>
        <v>26.446200000000001</v>
      </c>
      <c r="P29" s="44">
        <f>'2017 DUOS Incl GST'!P29+'2017 TUOS Incl GST'!P29</f>
        <v>0</v>
      </c>
      <c r="Q29" s="43">
        <f>'2017 DUOS Incl GST'!Q29+'2017 TUOS Incl GST'!Q29</f>
        <v>0</v>
      </c>
      <c r="R29" s="66" t="s">
        <v>20</v>
      </c>
      <c r="S29" s="67" t="s">
        <v>35</v>
      </c>
      <c r="T29" s="45"/>
      <c r="U29" s="73">
        <v>1.5</v>
      </c>
      <c r="V29" s="32"/>
    </row>
    <row r="30" spans="2:22" ht="27.75" customHeight="1" thickBot="1" x14ac:dyDescent="0.25">
      <c r="B30" s="37" t="s">
        <v>105</v>
      </c>
      <c r="C30" s="36" t="s">
        <v>107</v>
      </c>
      <c r="D30" s="60" t="s">
        <v>99</v>
      </c>
      <c r="E30" s="40">
        <f>'2017 DUOS Incl GST'!E30+'2017 TUOS Incl GST'!E30</f>
        <v>0</v>
      </c>
      <c r="F30" s="41">
        <f>'2017 DUOS Incl GST'!F30+'2017 TUOS Incl GST'!F30</f>
        <v>7.3326000000000002</v>
      </c>
      <c r="G30" s="41">
        <f>'2017 DUOS Incl GST'!G30+'2017 TUOS Incl GST'!G30</f>
        <v>7.3326000000000002</v>
      </c>
      <c r="H30" s="41">
        <f>'2017 DUOS Incl GST'!H30+'2017 TUOS Incl GST'!H30</f>
        <v>7.3326000000000002</v>
      </c>
      <c r="I30" s="41">
        <f>'2017 DUOS Incl GST'!I30+'2017 TUOS Incl GST'!I30</f>
        <v>7.3326000000000002</v>
      </c>
      <c r="J30" s="41">
        <f>'2017 DUOS Incl GST'!J30+'2017 TUOS Incl GST'!J30</f>
        <v>7.3326000000000002</v>
      </c>
      <c r="K30" s="41">
        <f>'2017 DUOS Incl GST'!K30+'2017 TUOS Incl GST'!K30</f>
        <v>7.3326000000000002</v>
      </c>
      <c r="L30" s="41">
        <f>'2017 DUOS Incl GST'!L30+'2017 TUOS Incl GST'!L30</f>
        <v>0</v>
      </c>
      <c r="M30" s="42">
        <f>'2017 DUOS Incl GST'!M30+'2017 TUOS Incl GST'!M30</f>
        <v>0</v>
      </c>
      <c r="N30" s="41">
        <f>'2017 DUOS Incl GST'!N30+'2017 TUOS Incl GST'!N30</f>
        <v>24.570700000000002</v>
      </c>
      <c r="O30" s="43">
        <f>'2017 DUOS Incl GST'!O30+'2017 TUOS Incl GST'!O30</f>
        <v>16.380099999999999</v>
      </c>
      <c r="P30" s="44">
        <f>'2017 DUOS Incl GST'!P30+'2017 TUOS Incl GST'!P30</f>
        <v>0</v>
      </c>
      <c r="Q30" s="43">
        <f>'2017 DUOS Incl GST'!Q30+'2017 TUOS Incl GST'!Q30</f>
        <v>0</v>
      </c>
      <c r="R30" s="66" t="s">
        <v>20</v>
      </c>
      <c r="S30" s="67" t="s">
        <v>98</v>
      </c>
      <c r="T30" s="68"/>
      <c r="U30" s="73">
        <v>1.5</v>
      </c>
    </row>
    <row r="31" spans="2:22" ht="15" customHeight="1" thickBot="1" x14ac:dyDescent="0.25">
      <c r="B31" s="18"/>
      <c r="C31" s="23"/>
      <c r="D31" s="6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74"/>
      <c r="S31" s="74"/>
      <c r="T31" s="74"/>
      <c r="U31" s="75"/>
    </row>
    <row r="32" spans="2:22" ht="15" customHeight="1" x14ac:dyDescent="0.2">
      <c r="B32" s="18"/>
      <c r="C32" s="23"/>
      <c r="D32" s="23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3"/>
      <c r="S32" s="23"/>
      <c r="T32" s="23"/>
      <c r="U32" s="25"/>
    </row>
    <row r="33" spans="1:21" ht="16.149999999999999" customHeight="1" x14ac:dyDescent="0.2">
      <c r="B33" s="38" t="s">
        <v>69</v>
      </c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7"/>
    </row>
    <row r="34" spans="1:21" ht="16.149999999999999" customHeight="1" x14ac:dyDescent="0.2">
      <c r="B34" s="38" t="s">
        <v>70</v>
      </c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7"/>
    </row>
    <row r="35" spans="1:21" ht="16.149999999999999" customHeight="1" x14ac:dyDescent="0.2">
      <c r="B35" s="39" t="s">
        <v>71</v>
      </c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7"/>
    </row>
    <row r="36" spans="1:21" ht="16.149999999999999" customHeight="1" x14ac:dyDescent="0.2">
      <c r="B36" s="39" t="s">
        <v>72</v>
      </c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7"/>
    </row>
    <row r="37" spans="1:21" ht="16.149999999999999" customHeight="1" x14ac:dyDescent="0.2">
      <c r="B37" s="38" t="s">
        <v>73</v>
      </c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7"/>
    </row>
    <row r="38" spans="1:21" ht="16.149999999999999" customHeight="1" x14ac:dyDescent="0.2">
      <c r="B38" s="56" t="s">
        <v>101</v>
      </c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7"/>
    </row>
    <row r="39" spans="1:21" ht="16.149999999999999" customHeight="1" x14ac:dyDescent="0.2">
      <c r="B39" s="56" t="s">
        <v>112</v>
      </c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7"/>
    </row>
    <row r="40" spans="1:21" ht="16.149999999999999" customHeight="1" x14ac:dyDescent="0.2">
      <c r="B40" s="56" t="s">
        <v>114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7"/>
    </row>
    <row r="41" spans="1:21" ht="15" customHeight="1" thickBot="1" x14ac:dyDescent="0.25">
      <c r="B41" s="28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30"/>
    </row>
    <row r="42" spans="1:21" x14ac:dyDescent="0.2"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31"/>
      <c r="O42" s="31"/>
      <c r="P42" s="26"/>
      <c r="Q42" s="26"/>
      <c r="R42" s="26"/>
      <c r="S42" s="26"/>
      <c r="T42" s="26"/>
      <c r="U42" s="26"/>
    </row>
    <row r="43" spans="1:21" x14ac:dyDescent="0.2">
      <c r="B43" s="26"/>
      <c r="C43" s="26"/>
      <c r="S43" s="26"/>
      <c r="T43" s="26"/>
      <c r="U43" s="26"/>
    </row>
    <row r="44" spans="1:21" x14ac:dyDescent="0.2">
      <c r="A44"/>
    </row>
    <row r="45" spans="1:21" x14ac:dyDescent="0.2">
      <c r="A45"/>
    </row>
    <row r="46" spans="1:21" x14ac:dyDescent="0.2">
      <c r="A46"/>
    </row>
    <row r="47" spans="1:21" x14ac:dyDescent="0.2">
      <c r="A47"/>
    </row>
    <row r="48" spans="1:21" x14ac:dyDescent="0.2">
      <c r="A48"/>
    </row>
    <row r="49" spans="1:1" x14ac:dyDescent="0.2">
      <c r="A49"/>
    </row>
    <row r="50" spans="1:1" x14ac:dyDescent="0.2">
      <c r="A50"/>
    </row>
    <row r="51" spans="1:1" x14ac:dyDescent="0.2">
      <c r="A51"/>
    </row>
    <row r="52" spans="1:1" x14ac:dyDescent="0.2">
      <c r="A52"/>
    </row>
    <row r="53" spans="1:1" x14ac:dyDescent="0.2">
      <c r="A53"/>
    </row>
    <row r="54" spans="1:1" x14ac:dyDescent="0.2">
      <c r="A54"/>
    </row>
    <row r="55" spans="1:1" x14ac:dyDescent="0.2">
      <c r="A55"/>
    </row>
    <row r="56" spans="1:1" x14ac:dyDescent="0.2">
      <c r="A56"/>
    </row>
    <row r="57" spans="1:1" x14ac:dyDescent="0.2">
      <c r="A57"/>
    </row>
    <row r="58" spans="1:1" x14ac:dyDescent="0.2">
      <c r="A58"/>
    </row>
    <row r="59" spans="1:1" x14ac:dyDescent="0.2">
      <c r="A59"/>
    </row>
    <row r="60" spans="1:1" x14ac:dyDescent="0.2">
      <c r="A60"/>
    </row>
    <row r="61" spans="1:1" x14ac:dyDescent="0.2">
      <c r="A61"/>
    </row>
    <row r="62" spans="1:1" x14ac:dyDescent="0.2">
      <c r="A62"/>
    </row>
    <row r="63" spans="1:1" x14ac:dyDescent="0.2">
      <c r="A63"/>
    </row>
    <row r="64" spans="1:1" x14ac:dyDescent="0.2">
      <c r="A64"/>
    </row>
    <row r="65" spans="1:1" x14ac:dyDescent="0.2">
      <c r="A65"/>
    </row>
    <row r="66" spans="1:1" x14ac:dyDescent="0.2">
      <c r="A66"/>
    </row>
    <row r="67" spans="1:1" x14ac:dyDescent="0.2">
      <c r="A67"/>
    </row>
    <row r="68" spans="1:1" x14ac:dyDescent="0.2">
      <c r="A68"/>
    </row>
    <row r="69" spans="1:1" x14ac:dyDescent="0.2">
      <c r="A69"/>
    </row>
    <row r="70" spans="1:1" x14ac:dyDescent="0.2">
      <c r="A70"/>
    </row>
    <row r="71" spans="1:1" x14ac:dyDescent="0.2">
      <c r="A71"/>
    </row>
    <row r="72" spans="1:1" x14ac:dyDescent="0.2">
      <c r="A72"/>
    </row>
    <row r="73" spans="1:1" x14ac:dyDescent="0.2">
      <c r="A73"/>
    </row>
    <row r="74" spans="1:1" x14ac:dyDescent="0.2">
      <c r="A74"/>
    </row>
    <row r="75" spans="1:1" x14ac:dyDescent="0.2">
      <c r="A75"/>
    </row>
    <row r="76" spans="1:1" x14ac:dyDescent="0.2">
      <c r="A76"/>
    </row>
    <row r="77" spans="1:1" x14ac:dyDescent="0.2">
      <c r="A77"/>
    </row>
    <row r="78" spans="1:1" x14ac:dyDescent="0.2">
      <c r="A78"/>
    </row>
    <row r="79" spans="1:1" x14ac:dyDescent="0.2">
      <c r="A79"/>
    </row>
    <row r="80" spans="1:1" x14ac:dyDescent="0.2">
      <c r="A80"/>
    </row>
    <row r="81" spans="1:1" x14ac:dyDescent="0.2">
      <c r="A81"/>
    </row>
    <row r="82" spans="1:1" x14ac:dyDescent="0.2">
      <c r="A82"/>
    </row>
    <row r="83" spans="1:1" x14ac:dyDescent="0.2">
      <c r="A83"/>
    </row>
    <row r="84" spans="1:1" x14ac:dyDescent="0.2">
      <c r="A84"/>
    </row>
    <row r="85" spans="1:1" x14ac:dyDescent="0.2">
      <c r="A85"/>
    </row>
    <row r="86" spans="1:1" x14ac:dyDescent="0.2">
      <c r="A86"/>
    </row>
    <row r="87" spans="1:1" x14ac:dyDescent="0.2">
      <c r="A87"/>
    </row>
    <row r="88" spans="1:1" x14ac:dyDescent="0.2">
      <c r="A88"/>
    </row>
    <row r="89" spans="1:1" x14ac:dyDescent="0.2">
      <c r="A89"/>
    </row>
    <row r="90" spans="1:1" x14ac:dyDescent="0.2">
      <c r="A90"/>
    </row>
    <row r="91" spans="1:1" x14ac:dyDescent="0.2">
      <c r="A91"/>
    </row>
    <row r="92" spans="1:1" x14ac:dyDescent="0.2">
      <c r="A92"/>
    </row>
    <row r="93" spans="1:1" x14ac:dyDescent="0.2">
      <c r="A93"/>
    </row>
    <row r="94" spans="1:1" x14ac:dyDescent="0.2">
      <c r="A94"/>
    </row>
    <row r="95" spans="1:1" x14ac:dyDescent="0.2">
      <c r="A95"/>
    </row>
  </sheetData>
  <mergeCells count="4">
    <mergeCell ref="B2:T2"/>
    <mergeCell ref="E4:Q4"/>
    <mergeCell ref="R4:S4"/>
    <mergeCell ref="R27:S27"/>
  </mergeCells>
  <pageMargins left="0.74803149606299213" right="0.74803149606299213" top="0.39370078740157483" bottom="0.11811023622047245" header="0.11811023622047245" footer="0.11811023622047245"/>
  <pageSetup paperSize="9" scale="39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42"/>
  <sheetViews>
    <sheetView showGridLines="0" zoomScale="60" zoomScaleNormal="60" workbookViewId="0">
      <selection activeCell="A25" sqref="A25:B27"/>
    </sheetView>
  </sheetViews>
  <sheetFormatPr defaultRowHeight="12.75" x14ac:dyDescent="0.2"/>
  <cols>
    <col min="1" max="1" width="30.28515625" style="81" customWidth="1"/>
    <col min="2" max="2" width="29.140625" style="81" customWidth="1"/>
    <col min="3" max="3" width="27.7109375" style="81" customWidth="1"/>
    <col min="4" max="4" width="8.85546875" style="81" customWidth="1"/>
    <col min="5" max="16384" width="9.140625" style="81"/>
  </cols>
  <sheetData>
    <row r="1" spans="1:3" s="76" customFormat="1" ht="18.75" thickBot="1" x14ac:dyDescent="0.3">
      <c r="A1" s="117" t="s">
        <v>92</v>
      </c>
      <c r="B1" s="118"/>
      <c r="C1" s="118"/>
    </row>
    <row r="2" spans="1:3" s="77" customFormat="1" ht="92.25" customHeight="1" thickBot="1" x14ac:dyDescent="0.25">
      <c r="A2" s="98" t="s">
        <v>79</v>
      </c>
      <c r="B2" s="98" t="s">
        <v>80</v>
      </c>
      <c r="C2" s="99" t="s">
        <v>81</v>
      </c>
    </row>
    <row r="3" spans="1:3" ht="25.5" customHeight="1" x14ac:dyDescent="0.2">
      <c r="A3" s="78" t="s">
        <v>18</v>
      </c>
      <c r="B3" s="79" t="s">
        <v>19</v>
      </c>
      <c r="C3" s="80">
        <v>6.2469999999999999</v>
      </c>
    </row>
    <row r="4" spans="1:3" ht="25.5" customHeight="1" x14ac:dyDescent="0.2">
      <c r="A4" s="82" t="s">
        <v>22</v>
      </c>
      <c r="B4" s="83" t="s">
        <v>23</v>
      </c>
      <c r="C4" s="84">
        <v>6.2469999999999999</v>
      </c>
    </row>
    <row r="5" spans="1:3" ht="25.5" customHeight="1" x14ac:dyDescent="0.2">
      <c r="A5" s="82" t="s">
        <v>24</v>
      </c>
      <c r="B5" s="83" t="s">
        <v>25</v>
      </c>
      <c r="C5" s="84"/>
    </row>
    <row r="6" spans="1:3" ht="25.5" customHeight="1" x14ac:dyDescent="0.2">
      <c r="A6" s="82" t="s">
        <v>27</v>
      </c>
      <c r="B6" s="83" t="s">
        <v>28</v>
      </c>
      <c r="C6" s="84"/>
    </row>
    <row r="7" spans="1:3" ht="25.5" customHeight="1" x14ac:dyDescent="0.2">
      <c r="A7" s="82" t="s">
        <v>29</v>
      </c>
      <c r="B7" s="83" t="s">
        <v>30</v>
      </c>
      <c r="C7" s="85">
        <v>6.2469999999999999</v>
      </c>
    </row>
    <row r="8" spans="1:3" ht="25.5" customHeight="1" x14ac:dyDescent="0.2">
      <c r="A8" s="82" t="s">
        <v>31</v>
      </c>
      <c r="B8" s="83" t="s">
        <v>32</v>
      </c>
      <c r="C8" s="84">
        <v>6.2469999999999999</v>
      </c>
    </row>
    <row r="9" spans="1:3" ht="25.5" customHeight="1" x14ac:dyDescent="0.2">
      <c r="A9" s="82" t="s">
        <v>33</v>
      </c>
      <c r="B9" s="83" t="s">
        <v>34</v>
      </c>
      <c r="C9" s="84">
        <v>6.2469999999999999</v>
      </c>
    </row>
    <row r="10" spans="1:3" ht="25.5" customHeight="1" x14ac:dyDescent="0.2">
      <c r="A10" s="82" t="s">
        <v>36</v>
      </c>
      <c r="B10" s="83" t="s">
        <v>37</v>
      </c>
      <c r="C10" s="84">
        <v>6.2469999999999999</v>
      </c>
    </row>
    <row r="11" spans="1:3" ht="25.5" customHeight="1" x14ac:dyDescent="0.2">
      <c r="A11" s="82" t="s">
        <v>38</v>
      </c>
      <c r="B11" s="83" t="s">
        <v>39</v>
      </c>
      <c r="C11" s="84">
        <v>6.2469999999999999</v>
      </c>
    </row>
    <row r="12" spans="1:3" ht="25.5" customHeight="1" x14ac:dyDescent="0.2">
      <c r="A12" s="82" t="s">
        <v>40</v>
      </c>
      <c r="B12" s="83" t="s">
        <v>41</v>
      </c>
      <c r="C12" s="84">
        <v>6.2469999999999999</v>
      </c>
    </row>
    <row r="13" spans="1:3" ht="25.5" customHeight="1" x14ac:dyDescent="0.2">
      <c r="A13" s="82" t="s">
        <v>42</v>
      </c>
      <c r="B13" s="83" t="s">
        <v>43</v>
      </c>
      <c r="C13" s="84">
        <v>6.2469999999999999</v>
      </c>
    </row>
    <row r="14" spans="1:3" ht="25.5" customHeight="1" x14ac:dyDescent="0.2">
      <c r="A14" s="82" t="s">
        <v>44</v>
      </c>
      <c r="B14" s="83" t="s">
        <v>45</v>
      </c>
      <c r="C14" s="84">
        <v>6.2469999999999999</v>
      </c>
    </row>
    <row r="15" spans="1:3" ht="25.5" customHeight="1" x14ac:dyDescent="0.2">
      <c r="A15" s="82" t="s">
        <v>46</v>
      </c>
      <c r="B15" s="83" t="s">
        <v>47</v>
      </c>
      <c r="C15" s="84">
        <v>6.2469999999999999</v>
      </c>
    </row>
    <row r="16" spans="1:3" ht="25.5" customHeight="1" x14ac:dyDescent="0.2">
      <c r="A16" s="82" t="s">
        <v>48</v>
      </c>
      <c r="B16" s="83" t="s">
        <v>49</v>
      </c>
      <c r="C16" s="84">
        <v>6.2469999999999999</v>
      </c>
    </row>
    <row r="17" spans="1:3" ht="25.5" customHeight="1" x14ac:dyDescent="0.2">
      <c r="A17" s="82" t="s">
        <v>52</v>
      </c>
      <c r="B17" s="83" t="s">
        <v>53</v>
      </c>
      <c r="C17" s="84">
        <v>6.2469999999999999</v>
      </c>
    </row>
    <row r="18" spans="1:3" ht="25.5" customHeight="1" x14ac:dyDescent="0.2">
      <c r="A18" s="82" t="s">
        <v>54</v>
      </c>
      <c r="B18" s="83" t="s">
        <v>55</v>
      </c>
      <c r="C18" s="84">
        <v>6.2469999999999999</v>
      </c>
    </row>
    <row r="19" spans="1:3" ht="25.5" customHeight="1" x14ac:dyDescent="0.2">
      <c r="A19" s="82" t="s">
        <v>56</v>
      </c>
      <c r="B19" s="83" t="s">
        <v>57</v>
      </c>
      <c r="C19" s="84">
        <v>6.2469999999999999</v>
      </c>
    </row>
    <row r="20" spans="1:3" ht="25.5" customHeight="1" x14ac:dyDescent="0.2">
      <c r="A20" s="82" t="s">
        <v>58</v>
      </c>
      <c r="B20" s="83" t="s">
        <v>59</v>
      </c>
      <c r="C20" s="84">
        <v>6.2469999999999999</v>
      </c>
    </row>
    <row r="21" spans="1:3" ht="25.5" customHeight="1" x14ac:dyDescent="0.2">
      <c r="A21" s="82" t="s">
        <v>60</v>
      </c>
      <c r="B21" s="83" t="s">
        <v>61</v>
      </c>
      <c r="C21" s="84">
        <v>6.2469999999999999</v>
      </c>
    </row>
    <row r="22" spans="1:3" ht="25.5" customHeight="1" x14ac:dyDescent="0.2">
      <c r="A22" s="82" t="s">
        <v>62</v>
      </c>
      <c r="B22" s="83" t="s">
        <v>63</v>
      </c>
      <c r="C22" s="84">
        <v>6.2469999999999999</v>
      </c>
    </row>
    <row r="23" spans="1:3" ht="25.5" customHeight="1" x14ac:dyDescent="0.2">
      <c r="A23" s="82" t="s">
        <v>64</v>
      </c>
      <c r="B23" s="83" t="s">
        <v>65</v>
      </c>
      <c r="C23" s="84">
        <v>6.2469999999999999</v>
      </c>
    </row>
    <row r="24" spans="1:3" ht="25.5" customHeight="1" x14ac:dyDescent="0.2">
      <c r="A24" s="82" t="s">
        <v>66</v>
      </c>
      <c r="B24" s="83" t="s">
        <v>67</v>
      </c>
      <c r="C24" s="84">
        <v>6.2469999999999999</v>
      </c>
    </row>
    <row r="25" spans="1:3" ht="25.5" customHeight="1" x14ac:dyDescent="0.2">
      <c r="A25" s="106" t="s">
        <v>108</v>
      </c>
      <c r="B25" s="107" t="s">
        <v>109</v>
      </c>
      <c r="C25" s="84">
        <v>6.2469999999999999</v>
      </c>
    </row>
    <row r="26" spans="1:3" ht="25.5" customHeight="1" x14ac:dyDescent="0.2">
      <c r="A26" s="82" t="s">
        <v>94</v>
      </c>
      <c r="B26" s="83" t="s">
        <v>86</v>
      </c>
      <c r="C26" s="84">
        <v>6.2469999999999999</v>
      </c>
    </row>
    <row r="27" spans="1:3" ht="25.5" customHeight="1" thickBot="1" x14ac:dyDescent="0.25">
      <c r="A27" s="82" t="s">
        <v>95</v>
      </c>
      <c r="B27" s="107" t="s">
        <v>110</v>
      </c>
      <c r="C27" s="84">
        <v>6.2469999999999999</v>
      </c>
    </row>
    <row r="28" spans="1:3" x14ac:dyDescent="0.2">
      <c r="A28" s="86"/>
      <c r="B28" s="87"/>
      <c r="C28" s="88"/>
    </row>
    <row r="29" spans="1:3" x14ac:dyDescent="0.2">
      <c r="A29" s="89" t="s">
        <v>82</v>
      </c>
      <c r="B29" s="90"/>
      <c r="C29" s="91"/>
    </row>
    <row r="30" spans="1:3" x14ac:dyDescent="0.2">
      <c r="A30" s="89"/>
      <c r="B30" s="90"/>
      <c r="C30" s="91"/>
    </row>
    <row r="31" spans="1:3" x14ac:dyDescent="0.2">
      <c r="A31" s="89"/>
      <c r="B31" s="90"/>
      <c r="C31" s="91"/>
    </row>
    <row r="32" spans="1:3" x14ac:dyDescent="0.2">
      <c r="A32" s="119"/>
      <c r="B32" s="120"/>
      <c r="C32" s="121"/>
    </row>
    <row r="33" spans="1:3" ht="13.5" thickBot="1" x14ac:dyDescent="0.25">
      <c r="A33" s="122"/>
      <c r="B33" s="123"/>
      <c r="C33" s="124"/>
    </row>
    <row r="34" spans="1:3" x14ac:dyDescent="0.2">
      <c r="C34" s="92"/>
    </row>
    <row r="35" spans="1:3" x14ac:dyDescent="0.2">
      <c r="C35" s="93"/>
    </row>
    <row r="36" spans="1:3" x14ac:dyDescent="0.2">
      <c r="C36" s="92"/>
    </row>
    <row r="37" spans="1:3" x14ac:dyDescent="0.2">
      <c r="C37" s="92"/>
    </row>
    <row r="38" spans="1:3" x14ac:dyDescent="0.2">
      <c r="C38" s="92"/>
    </row>
    <row r="39" spans="1:3" x14ac:dyDescent="0.2">
      <c r="C39" s="92"/>
    </row>
    <row r="40" spans="1:3" x14ac:dyDescent="0.2">
      <c r="C40" s="92"/>
    </row>
    <row r="41" spans="1:3" x14ac:dyDescent="0.2">
      <c r="C41" s="92"/>
    </row>
    <row r="42" spans="1:3" x14ac:dyDescent="0.2">
      <c r="C42" s="92"/>
    </row>
  </sheetData>
  <mergeCells count="3">
    <mergeCell ref="A1:C1"/>
    <mergeCell ref="A32:C32"/>
    <mergeCell ref="A33:C33"/>
  </mergeCells>
  <pageMargins left="0.74803149606299213" right="0.74803149606299213" top="0.98425196850393704" bottom="0.98425196850393704" header="0.51181102362204722" footer="0.51181102362204722"/>
  <pageSetup paperSize="9" scale="92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42"/>
  <sheetViews>
    <sheetView showGridLines="0" zoomScale="60" zoomScaleNormal="60" workbookViewId="0">
      <selection activeCell="A25" sqref="A25:B27"/>
    </sheetView>
  </sheetViews>
  <sheetFormatPr defaultRowHeight="12.75" x14ac:dyDescent="0.2"/>
  <cols>
    <col min="1" max="1" width="30.28515625" style="81" customWidth="1"/>
    <col min="2" max="2" width="29.140625" style="81" customWidth="1"/>
    <col min="3" max="3" width="27.7109375" style="81" customWidth="1"/>
    <col min="4" max="4" width="8.85546875" style="81" customWidth="1"/>
    <col min="5" max="16384" width="9.140625" style="81"/>
  </cols>
  <sheetData>
    <row r="1" spans="1:3" s="76" customFormat="1" ht="18.75" thickBot="1" x14ac:dyDescent="0.3">
      <c r="A1" s="125" t="s">
        <v>96</v>
      </c>
      <c r="B1" s="126"/>
      <c r="C1" s="126"/>
    </row>
    <row r="2" spans="1:3" s="77" customFormat="1" ht="92.25" customHeight="1" thickBot="1" x14ac:dyDescent="0.25">
      <c r="A2" s="98" t="s">
        <v>79</v>
      </c>
      <c r="B2" s="98" t="s">
        <v>80</v>
      </c>
      <c r="C2" s="99" t="s">
        <v>81</v>
      </c>
    </row>
    <row r="3" spans="1:3" ht="25.5" customHeight="1" x14ac:dyDescent="0.2">
      <c r="A3" s="78" t="s">
        <v>18</v>
      </c>
      <c r="B3" s="79" t="s">
        <v>19</v>
      </c>
      <c r="C3" s="80">
        <f>'PFIT TFIT Ex GST'!C3*1.1</f>
        <v>6.8717000000000006</v>
      </c>
    </row>
    <row r="4" spans="1:3" ht="25.5" customHeight="1" x14ac:dyDescent="0.2">
      <c r="A4" s="82" t="s">
        <v>22</v>
      </c>
      <c r="B4" s="83" t="s">
        <v>23</v>
      </c>
      <c r="C4" s="84">
        <f>'PFIT TFIT Ex GST'!C4*1.1</f>
        <v>6.8717000000000006</v>
      </c>
    </row>
    <row r="5" spans="1:3" ht="25.5" customHeight="1" x14ac:dyDescent="0.2">
      <c r="A5" s="82" t="s">
        <v>24</v>
      </c>
      <c r="B5" s="83" t="s">
        <v>25</v>
      </c>
      <c r="C5" s="84"/>
    </row>
    <row r="6" spans="1:3" ht="25.5" customHeight="1" x14ac:dyDescent="0.2">
      <c r="A6" s="82" t="s">
        <v>27</v>
      </c>
      <c r="B6" s="83" t="s">
        <v>28</v>
      </c>
      <c r="C6" s="84"/>
    </row>
    <row r="7" spans="1:3" ht="25.5" customHeight="1" x14ac:dyDescent="0.2">
      <c r="A7" s="82" t="s">
        <v>29</v>
      </c>
      <c r="B7" s="83" t="s">
        <v>30</v>
      </c>
      <c r="C7" s="85">
        <f>'PFIT TFIT Ex GST'!C7*1.1</f>
        <v>6.8717000000000006</v>
      </c>
    </row>
    <row r="8" spans="1:3" ht="25.5" customHeight="1" x14ac:dyDescent="0.2">
      <c r="A8" s="82" t="s">
        <v>31</v>
      </c>
      <c r="B8" s="83" t="s">
        <v>32</v>
      </c>
      <c r="C8" s="84">
        <f>'PFIT TFIT Ex GST'!C8*1.1</f>
        <v>6.8717000000000006</v>
      </c>
    </row>
    <row r="9" spans="1:3" ht="25.5" customHeight="1" x14ac:dyDescent="0.2">
      <c r="A9" s="82" t="s">
        <v>33</v>
      </c>
      <c r="B9" s="83" t="s">
        <v>34</v>
      </c>
      <c r="C9" s="84">
        <f>'PFIT TFIT Ex GST'!C9*1.1</f>
        <v>6.8717000000000006</v>
      </c>
    </row>
    <row r="10" spans="1:3" ht="25.5" customHeight="1" x14ac:dyDescent="0.2">
      <c r="A10" s="82" t="s">
        <v>36</v>
      </c>
      <c r="B10" s="83" t="s">
        <v>37</v>
      </c>
      <c r="C10" s="84">
        <f>'PFIT TFIT Ex GST'!C10*1.1</f>
        <v>6.8717000000000006</v>
      </c>
    </row>
    <row r="11" spans="1:3" ht="25.5" customHeight="1" x14ac:dyDescent="0.2">
      <c r="A11" s="82" t="s">
        <v>38</v>
      </c>
      <c r="B11" s="83" t="s">
        <v>39</v>
      </c>
      <c r="C11" s="84">
        <f>'PFIT TFIT Ex GST'!C11*1.1</f>
        <v>6.8717000000000006</v>
      </c>
    </row>
    <row r="12" spans="1:3" ht="25.5" customHeight="1" x14ac:dyDescent="0.2">
      <c r="A12" s="82" t="s">
        <v>40</v>
      </c>
      <c r="B12" s="83" t="s">
        <v>41</v>
      </c>
      <c r="C12" s="84">
        <f>'PFIT TFIT Ex GST'!C12*1.1</f>
        <v>6.8717000000000006</v>
      </c>
    </row>
    <row r="13" spans="1:3" ht="25.5" customHeight="1" x14ac:dyDescent="0.2">
      <c r="A13" s="82" t="s">
        <v>42</v>
      </c>
      <c r="B13" s="83" t="s">
        <v>43</v>
      </c>
      <c r="C13" s="84">
        <f>'PFIT TFIT Ex GST'!C13*1.1</f>
        <v>6.8717000000000006</v>
      </c>
    </row>
    <row r="14" spans="1:3" ht="25.5" customHeight="1" x14ac:dyDescent="0.2">
      <c r="A14" s="82" t="s">
        <v>44</v>
      </c>
      <c r="B14" s="83" t="s">
        <v>45</v>
      </c>
      <c r="C14" s="84">
        <f>'PFIT TFIT Ex GST'!C14*1.1</f>
        <v>6.8717000000000006</v>
      </c>
    </row>
    <row r="15" spans="1:3" ht="25.5" customHeight="1" x14ac:dyDescent="0.2">
      <c r="A15" s="82" t="s">
        <v>46</v>
      </c>
      <c r="B15" s="83" t="s">
        <v>47</v>
      </c>
      <c r="C15" s="84">
        <f>'PFIT TFIT Ex GST'!C15*1.1</f>
        <v>6.8717000000000006</v>
      </c>
    </row>
    <row r="16" spans="1:3" ht="25.5" customHeight="1" x14ac:dyDescent="0.2">
      <c r="A16" s="82" t="s">
        <v>48</v>
      </c>
      <c r="B16" s="83" t="s">
        <v>49</v>
      </c>
      <c r="C16" s="84">
        <f>'PFIT TFIT Ex GST'!C16*1.1</f>
        <v>6.8717000000000006</v>
      </c>
    </row>
    <row r="17" spans="1:3" ht="25.5" customHeight="1" x14ac:dyDescent="0.2">
      <c r="A17" s="82" t="s">
        <v>52</v>
      </c>
      <c r="B17" s="83" t="s">
        <v>53</v>
      </c>
      <c r="C17" s="84">
        <f>'PFIT TFIT Ex GST'!C17*1.1</f>
        <v>6.8717000000000006</v>
      </c>
    </row>
    <row r="18" spans="1:3" ht="25.5" customHeight="1" x14ac:dyDescent="0.2">
      <c r="A18" s="82" t="s">
        <v>54</v>
      </c>
      <c r="B18" s="83" t="s">
        <v>55</v>
      </c>
      <c r="C18" s="84">
        <f>'PFIT TFIT Ex GST'!C18*1.1</f>
        <v>6.8717000000000006</v>
      </c>
    </row>
    <row r="19" spans="1:3" ht="25.5" customHeight="1" x14ac:dyDescent="0.2">
      <c r="A19" s="82" t="s">
        <v>56</v>
      </c>
      <c r="B19" s="83" t="s">
        <v>57</v>
      </c>
      <c r="C19" s="84">
        <f>'PFIT TFIT Ex GST'!C19*1.1</f>
        <v>6.8717000000000006</v>
      </c>
    </row>
    <row r="20" spans="1:3" ht="25.5" customHeight="1" x14ac:dyDescent="0.2">
      <c r="A20" s="82" t="s">
        <v>58</v>
      </c>
      <c r="B20" s="83" t="s">
        <v>59</v>
      </c>
      <c r="C20" s="84">
        <f>'PFIT TFIT Ex GST'!C20*1.1</f>
        <v>6.8717000000000006</v>
      </c>
    </row>
    <row r="21" spans="1:3" ht="25.5" customHeight="1" x14ac:dyDescent="0.2">
      <c r="A21" s="82" t="s">
        <v>60</v>
      </c>
      <c r="B21" s="83" t="s">
        <v>61</v>
      </c>
      <c r="C21" s="84">
        <f>'PFIT TFIT Ex GST'!C21*1.1</f>
        <v>6.8717000000000006</v>
      </c>
    </row>
    <row r="22" spans="1:3" ht="25.5" customHeight="1" x14ac:dyDescent="0.2">
      <c r="A22" s="82" t="s">
        <v>62</v>
      </c>
      <c r="B22" s="83" t="s">
        <v>63</v>
      </c>
      <c r="C22" s="84">
        <f>'PFIT TFIT Ex GST'!C22*1.1</f>
        <v>6.8717000000000006</v>
      </c>
    </row>
    <row r="23" spans="1:3" ht="25.5" customHeight="1" x14ac:dyDescent="0.2">
      <c r="A23" s="82" t="s">
        <v>64</v>
      </c>
      <c r="B23" s="83" t="s">
        <v>65</v>
      </c>
      <c r="C23" s="84">
        <f>'PFIT TFIT Ex GST'!C23*1.1</f>
        <v>6.8717000000000006</v>
      </c>
    </row>
    <row r="24" spans="1:3" ht="25.5" customHeight="1" x14ac:dyDescent="0.2">
      <c r="A24" s="82" t="s">
        <v>66</v>
      </c>
      <c r="B24" s="83" t="s">
        <v>67</v>
      </c>
      <c r="C24" s="84">
        <f>'PFIT TFIT Ex GST'!C24*1.1</f>
        <v>6.8717000000000006</v>
      </c>
    </row>
    <row r="25" spans="1:3" ht="25.5" customHeight="1" x14ac:dyDescent="0.2">
      <c r="A25" s="106" t="s">
        <v>108</v>
      </c>
      <c r="B25" s="107" t="s">
        <v>109</v>
      </c>
      <c r="C25" s="84">
        <f>'PFIT TFIT Ex GST'!C25*1.1</f>
        <v>6.8717000000000006</v>
      </c>
    </row>
    <row r="26" spans="1:3" ht="25.5" customHeight="1" x14ac:dyDescent="0.2">
      <c r="A26" s="82" t="s">
        <v>94</v>
      </c>
      <c r="B26" s="83" t="s">
        <v>86</v>
      </c>
      <c r="C26" s="84">
        <f>'PFIT TFIT Ex GST'!C26*1.1</f>
        <v>6.8717000000000006</v>
      </c>
    </row>
    <row r="27" spans="1:3" ht="25.5" customHeight="1" thickBot="1" x14ac:dyDescent="0.25">
      <c r="A27" s="82" t="s">
        <v>95</v>
      </c>
      <c r="B27" s="107" t="s">
        <v>110</v>
      </c>
      <c r="C27" s="84">
        <f>'PFIT TFIT Ex GST'!C27*1.1</f>
        <v>6.8717000000000006</v>
      </c>
    </row>
    <row r="28" spans="1:3" x14ac:dyDescent="0.2">
      <c r="A28" s="86"/>
      <c r="B28" s="87"/>
      <c r="C28" s="88"/>
    </row>
    <row r="29" spans="1:3" x14ac:dyDescent="0.2">
      <c r="A29" s="89" t="s">
        <v>82</v>
      </c>
      <c r="B29" s="90"/>
      <c r="C29" s="91"/>
    </row>
    <row r="30" spans="1:3" x14ac:dyDescent="0.2">
      <c r="A30" s="89"/>
      <c r="B30" s="90"/>
      <c r="C30" s="91"/>
    </row>
    <row r="31" spans="1:3" x14ac:dyDescent="0.2">
      <c r="A31" s="89"/>
      <c r="B31" s="90"/>
      <c r="C31" s="91"/>
    </row>
    <row r="32" spans="1:3" x14ac:dyDescent="0.2">
      <c r="A32" s="119"/>
      <c r="B32" s="120"/>
      <c r="C32" s="121"/>
    </row>
    <row r="33" spans="1:3" ht="13.5" thickBot="1" x14ac:dyDescent="0.25">
      <c r="A33" s="122"/>
      <c r="B33" s="123"/>
      <c r="C33" s="124"/>
    </row>
    <row r="34" spans="1:3" x14ac:dyDescent="0.2">
      <c r="C34" s="92"/>
    </row>
    <row r="35" spans="1:3" x14ac:dyDescent="0.2">
      <c r="C35" s="93"/>
    </row>
    <row r="36" spans="1:3" x14ac:dyDescent="0.2">
      <c r="C36" s="92"/>
    </row>
    <row r="37" spans="1:3" x14ac:dyDescent="0.2">
      <c r="C37" s="92"/>
    </row>
    <row r="38" spans="1:3" x14ac:dyDescent="0.2">
      <c r="C38" s="92"/>
    </row>
    <row r="39" spans="1:3" x14ac:dyDescent="0.2">
      <c r="C39" s="92"/>
    </row>
    <row r="40" spans="1:3" x14ac:dyDescent="0.2">
      <c r="C40" s="92"/>
    </row>
    <row r="41" spans="1:3" x14ac:dyDescent="0.2">
      <c r="C41" s="92"/>
    </row>
    <row r="42" spans="1:3" x14ac:dyDescent="0.2">
      <c r="C42" s="92"/>
    </row>
  </sheetData>
  <mergeCells count="3">
    <mergeCell ref="A1:C1"/>
    <mergeCell ref="A32:C32"/>
    <mergeCell ref="A33:C33"/>
  </mergeCells>
  <pageMargins left="0.74803149606299213" right="0.74803149606299213" top="0.98425196850393704" bottom="0.98425196850393704" header="0.51181102362204722" footer="0.51181102362204722"/>
  <pageSetup paperSize="9" scale="92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"/>
  <sheetViews>
    <sheetView showGridLines="0" zoomScale="60" zoomScaleNormal="60" workbookViewId="0">
      <selection activeCell="B4" sqref="B4"/>
    </sheetView>
  </sheetViews>
  <sheetFormatPr defaultRowHeight="12.75" x14ac:dyDescent="0.2"/>
  <cols>
    <col min="1" max="1" width="61.140625" style="81" customWidth="1"/>
    <col min="2" max="2" width="19.28515625" style="81" customWidth="1"/>
    <col min="3" max="16384" width="9.140625" style="81"/>
  </cols>
  <sheetData>
    <row r="1" spans="1:2" ht="18" x14ac:dyDescent="0.25">
      <c r="A1" s="94" t="s">
        <v>93</v>
      </c>
    </row>
    <row r="2" spans="1:2" ht="15.75" x14ac:dyDescent="0.25">
      <c r="A2" s="95"/>
    </row>
    <row r="3" spans="1:2" x14ac:dyDescent="0.2">
      <c r="A3" s="100" t="s">
        <v>83</v>
      </c>
      <c r="B3" s="101" t="s">
        <v>84</v>
      </c>
    </row>
    <row r="4" spans="1:2" x14ac:dyDescent="0.2">
      <c r="A4" s="96" t="s">
        <v>85</v>
      </c>
      <c r="B4" s="105">
        <v>1.3220000000000001</v>
      </c>
    </row>
  </sheetData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"/>
  <sheetViews>
    <sheetView showGridLines="0" zoomScale="60" zoomScaleNormal="60" workbookViewId="0">
      <selection activeCell="E47" sqref="E47"/>
    </sheetView>
  </sheetViews>
  <sheetFormatPr defaultRowHeight="12.75" x14ac:dyDescent="0.2"/>
  <cols>
    <col min="1" max="1" width="61.140625" style="81" customWidth="1"/>
    <col min="2" max="2" width="19.28515625" style="81" customWidth="1"/>
    <col min="3" max="16384" width="9.140625" style="81"/>
  </cols>
  <sheetData>
    <row r="1" spans="1:2" ht="18" x14ac:dyDescent="0.25">
      <c r="A1" s="94" t="s">
        <v>97</v>
      </c>
    </row>
    <row r="2" spans="1:2" ht="15.75" x14ac:dyDescent="0.25">
      <c r="A2" s="95"/>
    </row>
    <row r="3" spans="1:2" x14ac:dyDescent="0.2">
      <c r="A3" s="100" t="s">
        <v>83</v>
      </c>
      <c r="B3" s="101" t="s">
        <v>84</v>
      </c>
    </row>
    <row r="4" spans="1:2" x14ac:dyDescent="0.2">
      <c r="A4" s="96" t="s">
        <v>85</v>
      </c>
      <c r="B4" s="97">
        <f>'Prescribed Ex GST'!B4*1.1</f>
        <v>1.4542000000000002</v>
      </c>
    </row>
  </sheetData>
  <pageMargins left="0.75" right="0.75" top="1" bottom="1" header="0.5" footer="0.5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2017 DUOS Ex GST</vt:lpstr>
      <vt:lpstr>2017 TUOS Ex GST</vt:lpstr>
      <vt:lpstr>2017 NUOS Ex GST</vt:lpstr>
      <vt:lpstr>2017 DUOS Incl GST</vt:lpstr>
      <vt:lpstr>2017 TUOS Incl GST</vt:lpstr>
      <vt:lpstr>2017 NUOS Incl GST</vt:lpstr>
      <vt:lpstr>PFIT TFIT Ex GST</vt:lpstr>
      <vt:lpstr>PFIT TFIT Incl GST</vt:lpstr>
      <vt:lpstr>Prescribed Ex GST</vt:lpstr>
      <vt:lpstr>Prescribed Incl GST</vt:lpstr>
      <vt:lpstr>'2017 DUOS Ex GST'!Print_Area</vt:lpstr>
      <vt:lpstr>'2017 DUOS Incl GST'!Print_Area</vt:lpstr>
      <vt:lpstr>'2017 NUOS Ex GST'!Print_Area</vt:lpstr>
      <vt:lpstr>'2017 NUOS Incl GST'!Print_Area</vt:lpstr>
      <vt:lpstr>'2017 TUOS Ex GST'!Print_Area</vt:lpstr>
      <vt:lpstr>'2017 TUOS Incl GST'!Print_Area</vt:lpstr>
    </vt:vector>
  </TitlesOfParts>
  <Company>United Energy Distribution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Laszlo Milias</dc:creator>
  <cp:lastModifiedBy>Laszlo Milias</cp:lastModifiedBy>
  <cp:lastPrinted>2015-09-24T05:31:32Z</cp:lastPrinted>
  <dcterms:created xsi:type="dcterms:W3CDTF">2015-09-15T07:10:44Z</dcterms:created>
  <dcterms:modified xsi:type="dcterms:W3CDTF">2016-10-05T00:55:24Z</dcterms:modified>
</cp:coreProperties>
</file>